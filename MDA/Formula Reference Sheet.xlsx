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y2s1_notes\MDA\"/>
    </mc:Choice>
  </mc:AlternateContent>
  <xr:revisionPtr revIDLastSave="0" documentId="13_ncr:1_{5CD8C57D-519D-468F-89B7-5B7A751C5B9D}" xr6:coauthVersionLast="47" xr6:coauthVersionMax="47" xr10:uidLastSave="{00000000-0000-0000-0000-000000000000}"/>
  <bookViews>
    <workbookView xWindow="-98" yWindow="-98" windowWidth="21795" windowHeight="12975" firstSheet="2" activeTab="3" xr2:uid="{00000000-000D-0000-FFFF-FFFF00000000}"/>
  </bookViews>
  <sheets>
    <sheet name="Financial Formulas" sheetId="1" r:id="rId1"/>
    <sheet name="Financial Formula Templates" sheetId="2" r:id="rId2"/>
    <sheet name="Lookups2" sheetId="8" r:id="rId3"/>
    <sheet name="Lookups Templates" sheetId="4" r:id="rId4"/>
    <sheet name="Modelling Templates" sheetId="6" r:id="rId5"/>
    <sheet name="Counts Templates" sheetId="5" r:id="rId6"/>
    <sheet name="Ranking" sheetId="7" r:id="rId7"/>
    <sheet name="Sheet1" sheetId="9" r:id="rId8"/>
    <sheet name="Sheet2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E39" i="5"/>
  <c r="J11" i="8" l="1"/>
  <c r="B5" i="10"/>
  <c r="A7" i="10" s="1"/>
  <c r="D37" i="7"/>
  <c r="B5" i="9" l="1"/>
  <c r="B7" i="9" s="1"/>
  <c r="C52" i="7" a="1"/>
  <c r="C52" i="7" s="1"/>
  <c r="H52" i="7" a="1"/>
  <c r="H52" i="7" s="1"/>
  <c r="C23" i="7" a="1"/>
  <c r="C23" i="7" s="1"/>
  <c r="H9" i="7"/>
  <c r="E35" i="5"/>
  <c r="M4" i="2"/>
  <c r="K20" i="8"/>
  <c r="J20" i="8"/>
  <c r="I20" i="8"/>
  <c r="H20" i="8"/>
  <c r="K19" i="8"/>
  <c r="J19" i="8"/>
  <c r="I19" i="8"/>
  <c r="H19" i="8"/>
  <c r="K18" i="8"/>
  <c r="J18" i="8"/>
  <c r="I18" i="8"/>
  <c r="H18" i="8"/>
  <c r="K17" i="8"/>
  <c r="J17" i="8"/>
  <c r="I17" i="8"/>
  <c r="H17" i="8"/>
  <c r="K16" i="8"/>
  <c r="J16" i="8"/>
  <c r="I16" i="8"/>
  <c r="H16" i="8"/>
  <c r="K15" i="8"/>
  <c r="J15" i="8"/>
  <c r="I15" i="8"/>
  <c r="H15" i="8"/>
  <c r="K14" i="8"/>
  <c r="J14" i="8"/>
  <c r="I14" i="8"/>
  <c r="H14" i="8"/>
  <c r="K13" i="8"/>
  <c r="J13" i="8"/>
  <c r="I13" i="8"/>
  <c r="H13" i="8"/>
  <c r="K12" i="8"/>
  <c r="J12" i="8"/>
  <c r="I12" i="8"/>
  <c r="H12" i="8"/>
  <c r="K11" i="8"/>
  <c r="I11" i="8"/>
  <c r="H11" i="8"/>
  <c r="N52" i="7" a="1"/>
  <c r="N52" i="7" s="1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H22" i="7" a="1"/>
  <c r="H22" i="7" s="1"/>
  <c r="H18" i="7"/>
  <c r="H17" i="7"/>
  <c r="H16" i="7"/>
  <c r="H15" i="7"/>
  <c r="H14" i="7"/>
  <c r="H13" i="7"/>
  <c r="H12" i="7"/>
  <c r="H11" i="7"/>
  <c r="H10" i="7"/>
  <c r="H7" i="4" l="1"/>
  <c r="G13" i="4" l="1"/>
  <c r="G32" i="6"/>
  <c r="G17" i="6"/>
  <c r="G12" i="6"/>
  <c r="G33" i="6"/>
  <c r="G11" i="6"/>
  <c r="G20" i="6" s="1"/>
  <c r="G10" i="6"/>
  <c r="G26" i="6" s="1" a="1"/>
  <c r="G26" i="6" s="1"/>
  <c r="H40" i="5"/>
  <c r="G40" i="5"/>
  <c r="F40" i="5"/>
  <c r="E40" i="5"/>
  <c r="H39" i="5"/>
  <c r="G39" i="5"/>
  <c r="F39" i="5"/>
  <c r="H38" i="5"/>
  <c r="G38" i="5"/>
  <c r="F38" i="5"/>
  <c r="E38" i="5"/>
  <c r="H37" i="5"/>
  <c r="G37" i="5"/>
  <c r="F37" i="5"/>
  <c r="E37" i="5"/>
  <c r="F36" i="5"/>
  <c r="N35" i="5"/>
  <c r="M35" i="5"/>
  <c r="L35" i="5"/>
  <c r="K35" i="5"/>
  <c r="N34" i="5"/>
  <c r="M34" i="5"/>
  <c r="L34" i="5"/>
  <c r="K34" i="5"/>
  <c r="Q33" i="5" a="1"/>
  <c r="Q33" i="5" s="1"/>
  <c r="N33" i="5"/>
  <c r="M33" i="5"/>
  <c r="L33" i="5"/>
  <c r="K33" i="5"/>
  <c r="N27" i="5"/>
  <c r="M27" i="5"/>
  <c r="L27" i="5"/>
  <c r="K27" i="5"/>
  <c r="N26" i="5"/>
  <c r="M26" i="5"/>
  <c r="L26" i="5"/>
  <c r="K26" i="5"/>
  <c r="T25" i="5" a="1"/>
  <c r="T25" i="5" s="1"/>
  <c r="S25" i="5" a="1"/>
  <c r="S25" i="5" s="1"/>
  <c r="R25" i="5" a="1"/>
  <c r="R25" i="5" s="1"/>
  <c r="Q25" i="5" a="1"/>
  <c r="Q25" i="5" s="1"/>
  <c r="N25" i="5"/>
  <c r="M25" i="5"/>
  <c r="L25" i="5"/>
  <c r="K25" i="5"/>
  <c r="G10" i="4"/>
  <c r="G18" i="6" l="1"/>
  <c r="G19" i="6"/>
  <c r="G25" i="6" a="1"/>
  <c r="G25" i="6" s="1"/>
  <c r="G27" i="6" a="1"/>
  <c r="G27" i="6" s="1"/>
  <c r="G28" i="6" a="1"/>
  <c r="G28" i="6" s="1"/>
  <c r="E4" i="2" l="1"/>
  <c r="J18" i="2"/>
  <c r="J17" i="2"/>
  <c r="J16" i="2"/>
  <c r="J15" i="2"/>
  <c r="J14" i="2"/>
  <c r="J13" i="2"/>
  <c r="J12" i="2"/>
  <c r="J11" i="2"/>
  <c r="J10" i="2"/>
  <c r="J9" i="2"/>
  <c r="J8" i="2"/>
  <c r="J4" i="2" l="1"/>
  <c r="C28" i="2"/>
  <c r="B23" i="2"/>
  <c r="E18" i="2"/>
  <c r="D13" i="2"/>
  <c r="F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<sst xmlns="http://schemas.openxmlformats.org/spreadsheetml/2006/main" count="359" uniqueCount="223">
  <si>
    <t>Name</t>
  </si>
  <si>
    <t>Formula</t>
  </si>
  <si>
    <t>Arguments</t>
  </si>
  <si>
    <t>Use Cases</t>
  </si>
  <si>
    <t>Explanation</t>
  </si>
  <si>
    <t>PV</t>
  </si>
  <si>
    <t>=PV(rate, nper, pmt, [fv], [type])</t>
  </si>
  <si>
    <t>Rate, Nper, PMT, FV, Type</t>
  </si>
  <si>
    <t>FV</t>
  </si>
  <si>
    <t>=FV(rate, nper, pmt, [pv], [type])</t>
  </si>
  <si>
    <t>Rate, Nper, PMT, PV, Type</t>
  </si>
  <si>
    <t>PMT</t>
  </si>
  <si>
    <t>=PMT(rate, nper, pv, [fv], [type])</t>
  </si>
  <si>
    <t>Rate, Nper, PV, FV, Type</t>
  </si>
  <si>
    <t>NPER</t>
  </si>
  <si>
    <t>=NPER(rate, pmt, pv, [fv], [type])</t>
  </si>
  <si>
    <t>Rate, PMT, PV, FV, Type</t>
  </si>
  <si>
    <t>RATE</t>
  </si>
  <si>
    <t>=RATE(nper, pmt, pv, [fv], [type], [guess])</t>
  </si>
  <si>
    <t>Nper, PMT, PV, FV, Type, Guess</t>
  </si>
  <si>
    <t>Notes</t>
  </si>
  <si>
    <t>for the type argument:
0 = payment at the end of each month
1 = payment at the beginning of each period</t>
  </si>
  <si>
    <t>Used to calculate the amount remaining at the very end</t>
  </si>
  <si>
    <t>future value of an investment
savings balance after X years
remaining loan balance
balloon/final lump-sum amount</t>
  </si>
  <si>
    <t>Used to calculate the present value of a series of regular payments</t>
  </si>
  <si>
    <t>Loans
Mortgages
Hire purchase
Annuities
Equal yearly/monthly payments
Finding how much you can afford to borrow today
Finding the current value of regular future savings/payments</t>
  </si>
  <si>
    <t>NPV</t>
  </si>
  <si>
    <t>Project appraisal
Investment decisions
Unequal yearly cash flows
Comparing whether a project is financially worthwhile
Future savings/revenues/costs that vary each year</t>
  </si>
  <si>
    <t>takes future cash flows and discounts each one back into today’s value, then adds them together.</t>
  </si>
  <si>
    <t>Used for finding a regular payment amount</t>
  </si>
  <si>
    <t>Any situation where the payment is the same every period
(e.g. monthly loan instalments, mortgage/loan repayments, regular savings contributions)</t>
  </si>
  <si>
    <t>How many periods of regular instalments will it take you to reach your goal</t>
  </si>
  <si>
    <t>How many months to repay a loan
How many years to reach a savings target
How many instalments are needed
How long before an investment reaches a certain amount</t>
  </si>
  <si>
    <t>What is the interest rate needed to make these cash flows work</t>
  </si>
  <si>
    <t>Find the interest rate on a loan
Find the return earned on an investment
Find the required rate to reach a future target
Compare financing options when the rate is unknown</t>
  </si>
  <si>
    <t>Rate</t>
  </si>
  <si>
    <t>Nper</t>
  </si>
  <si>
    <t>pv</t>
  </si>
  <si>
    <t>fv</t>
  </si>
  <si>
    <t>pmt</t>
  </si>
  <si>
    <t>per yr</t>
  </si>
  <si>
    <t>mth</t>
  </si>
  <si>
    <t>yr</t>
  </si>
  <si>
    <t>Rate, values</t>
  </si>
  <si>
    <t>rate = Discount rate per period
value1, value2… = Future cash flows for Period 1, Period 2, Period 3, etc.</t>
  </si>
  <si>
    <t xml:space="preserve"> =NPV(rate, value1, [value2], ...)-starting amount</t>
  </si>
  <si>
    <t>Return Rate</t>
  </si>
  <si>
    <t>Year</t>
  </si>
  <si>
    <t>CashFlow</t>
  </si>
  <si>
    <t>PresentValue</t>
  </si>
  <si>
    <t>IRR</t>
  </si>
  <si>
    <t>Initial</t>
  </si>
  <si>
    <t>Years</t>
  </si>
  <si>
    <t>Final</t>
  </si>
  <si>
    <t>Basic interest calculation</t>
  </si>
  <si>
    <t xml:space="preserve"> =IRR(values, [guess])</t>
  </si>
  <si>
    <t>Index</t>
  </si>
  <si>
    <t>School</t>
  </si>
  <si>
    <t>Dean</t>
  </si>
  <si>
    <t>Salary</t>
  </si>
  <si>
    <t>CIS</t>
  </si>
  <si>
    <t>Lim</t>
  </si>
  <si>
    <t>SOSS</t>
  </si>
  <si>
    <t>B something</t>
  </si>
  <si>
    <t xml:space="preserve"> =VLOOKUP(G3,C3:E9,2,FALSE)</t>
  </si>
  <si>
    <t>VLOOKUP must use leftmost column as lookup vector</t>
  </si>
  <si>
    <t>SOA</t>
  </si>
  <si>
    <t>Zhang</t>
  </si>
  <si>
    <t>SOE</t>
  </si>
  <si>
    <t>Li</t>
  </si>
  <si>
    <t>Target</t>
  </si>
  <si>
    <t>LKCSB</t>
  </si>
  <si>
    <t>Bird</t>
  </si>
  <si>
    <t>SCIS</t>
  </si>
  <si>
    <t>Tan</t>
  </si>
  <si>
    <t xml:space="preserve"> =LOOKUP(G7,E3:E9,C3:C9)</t>
  </si>
  <si>
    <t>YPHSL</t>
  </si>
  <si>
    <t>Ji Xuan</t>
  </si>
  <si>
    <t xml:space="preserve"> =INDEX(B2:E9,3,2)</t>
  </si>
  <si>
    <t>Sales Performance</t>
  </si>
  <si>
    <t>1) The company wishes to know which sales person is consistently showing good performance.</t>
  </si>
  <si>
    <t>A good performer is someone who has at least 3 consecutive quarters with sales exceeding $2,000.</t>
  </si>
  <si>
    <t>(a) Determine how many sales person has good performance for the first 3 quarters.</t>
  </si>
  <si>
    <t>(b) Determine how many sales person has good performance for the last 3 quarters.</t>
  </si>
  <si>
    <t>2) To understand the performance of sales persons according to their age group, the company wishes to compute</t>
  </si>
  <si>
    <t>the total sales for sales persons above and below 26 years of age, for each quarter.</t>
  </si>
  <si>
    <t>(c) Determine the total sales  for sales persons below 26 years of age.</t>
  </si>
  <si>
    <t>(d) Determine the total sales for sales persons above 26 years of age.</t>
  </si>
  <si>
    <t>With the results, are you able to conclude which group performs better?</t>
  </si>
  <si>
    <t>3) To understand the performance of sales persons according to their age group, the company wishes to compute</t>
  </si>
  <si>
    <t>4) To understand the company's sales performance for each quarter, determine the cumulative</t>
  </si>
  <si>
    <t>the average sales for sales persons above and below 26 years of age, for each quarter.</t>
  </si>
  <si>
    <t>and non-cumulative counts of each sales bin range.</t>
  </si>
  <si>
    <t>(e) Determine the average sales for sales person below 26 years of age.</t>
  </si>
  <si>
    <t>(a) Using COUNTIF</t>
  </si>
  <si>
    <t>(c) Using FREQUENCY with Spill</t>
  </si>
  <si>
    <t>(f) Determine the average sales for sales person above 26 years of age.</t>
  </si>
  <si>
    <t>(b) Using @FREQUENCY</t>
  </si>
  <si>
    <t>(d) Using FREQUENCY with Array</t>
  </si>
  <si>
    <t>Good Performer</t>
  </si>
  <si>
    <t>Cumulative count in each bin range using different functions</t>
  </si>
  <si>
    <t>Non-Cumulative count in each bin range using different functions</t>
  </si>
  <si>
    <t>Age Group</t>
  </si>
  <si>
    <t>a) COUNTIF()</t>
  </si>
  <si>
    <t>a) FREQUENCY with Spill (start with selecting only first cell, and select all Bins+1)</t>
  </si>
  <si>
    <t>S/N</t>
  </si>
  <si>
    <t>Age</t>
  </si>
  <si>
    <t>Q1</t>
  </si>
  <si>
    <t>Q2</t>
  </si>
  <si>
    <t>Q3</t>
  </si>
  <si>
    <t>Q4</t>
  </si>
  <si>
    <t>Bin</t>
  </si>
  <si>
    <t>Michelle</t>
  </si>
  <si>
    <t>Steve</t>
  </si>
  <si>
    <t>Patrick</t>
  </si>
  <si>
    <t>Wendy</t>
  </si>
  <si>
    <t xml:space="preserve"> =COUNTIF(E$25:E$34,"&lt;="&amp;$J25)</t>
  </si>
  <si>
    <t>Jenny</t>
  </si>
  <si>
    <t xml:space="preserve"> =FREQUENCY(E25:E34, $P25:$P28)</t>
  </si>
  <si>
    <t>Leon</t>
  </si>
  <si>
    <t>b) @FREQUENCY</t>
  </si>
  <si>
    <t>b) FREQUENCY with Array (start with selecting 3 cells, and use CTRL-SHFT-ENT)</t>
  </si>
  <si>
    <t>Richard</t>
  </si>
  <si>
    <t>Helen</t>
  </si>
  <si>
    <t>Chris</t>
  </si>
  <si>
    <t>Adel</t>
  </si>
  <si>
    <t>(a)</t>
  </si>
  <si>
    <t>Good Performance (first 3 quarters)</t>
  </si>
  <si>
    <t>(b)</t>
  </si>
  <si>
    <t>Good Performance (last 3 quarters)</t>
  </si>
  <si>
    <t xml:space="preserve"> =@FREQUENCY(E$25:E$34,$J33)</t>
  </si>
  <si>
    <t xml:space="preserve">(c) </t>
  </si>
  <si>
    <t>Total Sales (below 26)</t>
  </si>
  <si>
    <t xml:space="preserve"> =SUMIF($D$25:$D$34,"&lt;"&amp;$D$21, E25:E34)</t>
  </si>
  <si>
    <t xml:space="preserve"> =FREQUENCY(E25:E34,P33:P36)</t>
  </si>
  <si>
    <t xml:space="preserve">(d) </t>
  </si>
  <si>
    <t>Total Sales (above 26)</t>
  </si>
  <si>
    <t xml:space="preserve"> =SUMIF($D$25:$D$34,"&gt;"&amp;$D$21, E25:E34)</t>
  </si>
  <si>
    <t>(e)</t>
  </si>
  <si>
    <t>Average Sales (below 26)</t>
  </si>
  <si>
    <t xml:space="preserve"> =AVERAGEIF($D$25:$D$34,"&lt;"&amp;$D$21,E25:E34)</t>
  </si>
  <si>
    <t>(f)</t>
  </si>
  <si>
    <t>Average Sales (above 26)</t>
  </si>
  <si>
    <t xml:space="preserve"> =AVERAGEIF($D$25:$D$34,"&gt;"&amp;$D$21,E25:E34)</t>
  </si>
  <si>
    <t>Happiness Index VS Salary</t>
  </si>
  <si>
    <t>The "Happiness Index" was found to be affected by several factors including salary, job satisfaction, career</t>
  </si>
  <si>
    <t>progression, work environment and peer influence.</t>
  </si>
  <si>
    <t>The company is particularly interested to determine the relationship between salary and "Happiness Index",</t>
  </si>
  <si>
    <t>to see if there is a linear causal relationship between them.</t>
  </si>
  <si>
    <t>Salary ($)</t>
  </si>
  <si>
    <t>Happiness
Index</t>
  </si>
  <si>
    <t xml:space="preserve">(a) </t>
  </si>
  <si>
    <t>Determine the best-fit linear relationship, and describe the fit using the R^2 value.</t>
  </si>
  <si>
    <t>Intercept</t>
  </si>
  <si>
    <t>c</t>
  </si>
  <si>
    <t>Slope</t>
  </si>
  <si>
    <t>m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</si>
  <si>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</si>
  <si>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 xml:space="preserve">(b) </t>
  </si>
  <si>
    <t>Using the linear relationship parameters determined in part (a),</t>
  </si>
  <si>
    <t>predict the value of Happiness Index for the following salary values.</t>
  </si>
  <si>
    <t>Happiness Index</t>
  </si>
  <si>
    <t>Using the TREND() function and the values in the table, predict the</t>
  </si>
  <si>
    <t>value of Happiness Index for the following salary values.</t>
  </si>
  <si>
    <t xml:space="preserve">Determine the covariance and correlation for the bivariate data and </t>
  </si>
  <si>
    <t>describe how salary affects happiness index.</t>
  </si>
  <si>
    <t>Covariance</t>
  </si>
  <si>
    <t>Correlation</t>
  </si>
  <si>
    <t>r=mx+c</t>
  </si>
  <si>
    <t>values, guess</t>
  </si>
  <si>
    <t>[guess] is the starting rate Excel uses when it begins searching for the IRR.</t>
  </si>
  <si>
    <t>“What discount rate makes the NPV of this investment equal to 0?”</t>
  </si>
  <si>
    <t>Calculating internal rate of return 
Determine the rate of return generated by the project
Assess whether the project meets the required return of 8%
Comparing profitability between investments</t>
  </si>
  <si>
    <t xml:space="preserve"> =MATCH("SOSS",C3:C9,0)</t>
  </si>
  <si>
    <t>match_type</t>
  </si>
  <si>
    <t>What it does</t>
  </si>
  <si>
    <t>Sorting needed?</t>
  </si>
  <si>
    <t>Exact match</t>
  </si>
  <si>
    <t>No</t>
  </si>
  <si>
    <t>Yes, ascending</t>
  </si>
  <si>
    <t>Yes, descending</t>
  </si>
  <si>
    <t>Exact match or next smaller value</t>
  </si>
  <si>
    <t>Exact match or next larger value</t>
  </si>
  <si>
    <t>Performance Ranking, Sorting and Filtering using Excel Functions</t>
  </si>
  <si>
    <t>Determine the ranking position of the sales managers using different ranking functions.</t>
  </si>
  <si>
    <t>(a) Use RANK function to determine the rank of the sales managers based on Q4 sales performance.</t>
  </si>
  <si>
    <t>Ranking based on Q4</t>
  </si>
  <si>
    <t>(b) Use SORT function to sort Q1 performance in ascending order</t>
  </si>
  <si>
    <t>(c) For Michelle, sort her sales performance across all quarters in descending order using SORT function</t>
  </si>
  <si>
    <t>(d) Use SMALL function to sort Q2 performance in ascending order</t>
  </si>
  <si>
    <t>(e) Use LARGE function to sort Q3 performance in descending order</t>
  </si>
  <si>
    <t xml:space="preserve">(f) Use FILTER function to filter all sales managers whose sales </t>
  </si>
  <si>
    <t xml:space="preserve">(g) Use FILTER function to filter all sales managers whose sales </t>
  </si>
  <si>
    <t xml:space="preserve">(h) Use SORT and FILTER functions to filter all sales managers whose sales </t>
  </si>
  <si>
    <t xml:space="preserve">      performance in Q1 are above $2000</t>
  </si>
  <si>
    <t xml:space="preserve">      performance in Q1 and Q2 are above $3000</t>
  </si>
  <si>
    <t xml:space="preserve">      performance in Q1 are above $2000, and sort them in descending order</t>
  </si>
  <si>
    <t>It's Bonus Time</t>
  </si>
  <si>
    <t>Determine the number of months of bonus based on quarterly sales performance, using the lookup table.</t>
  </si>
  <si>
    <t>(a) Use LOOKUP() function for Q1</t>
  </si>
  <si>
    <t>(b) Use VLOOKUP() function for Q2</t>
  </si>
  <si>
    <t>(c) Use MATCH() function within INDEX() function for Q3</t>
  </si>
  <si>
    <t>(d) Use XLOOKUP() function for Q4.</t>
  </si>
  <si>
    <t>Lookup Table</t>
  </si>
  <si>
    <t>(c)</t>
  </si>
  <si>
    <t>(d)</t>
  </si>
  <si>
    <t>Bonus Payout</t>
  </si>
  <si>
    <t>LB</t>
  </si>
  <si>
    <t>Number of Months of bonus</t>
  </si>
  <si>
    <t>From $1001 to $1500</t>
  </si>
  <si>
    <t>From $1501 to $2000</t>
  </si>
  <si>
    <t>From $2001 to $2500</t>
  </si>
  <si>
    <t>From $2501 to $3000</t>
  </si>
  <si>
    <t>From $3001 to $3500</t>
  </si>
  <si>
    <t>From $3501 to $4000</t>
  </si>
  <si>
    <t>Loan Model</t>
  </si>
  <si>
    <t>Loan Amount</t>
  </si>
  <si>
    <t>Annual Interest Rate</t>
  </si>
  <si>
    <t>Loan Period (Years)</t>
  </si>
  <si>
    <t>Monthly Payment</t>
  </si>
  <si>
    <t>data validation</t>
  </si>
  <si>
    <t>list</t>
  </si>
  <si>
    <t>select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</si>
</sst>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"/>
    <numFmt numFmtId="166" formatCode="&quot;$&quot;#,##0_);[Red]\(&quot;$&quot;#,##0\)"/>
    <numFmt numFmtId="167" formatCode="0.000"/>
    <numFmt numFmtId="168" formatCode="#,##0.000_);[Red]\(#,##0.000\)"/>
    <numFmt numFmtId="169" formatCode="&quot;$&quot;#,##0.00_);[Red]\(&quot;$&quot;#,##0.00\)"/>
    <numFmt numFmtId="170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indexed="16"/>
      <name val="Calibri"/>
      <family val="2"/>
    </font>
    <font>
      <sz val="10"/>
      <name val="Calibri"/>
      <family val="2"/>
    </font>
    <font>
      <sz val="10"/>
      <color indexed="12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9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0" fontId="5" fillId="2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4" fontId="6" fillId="0" borderId="2" xfId="0" applyNumberFormat="1" applyFont="1" applyBorder="1" applyAlignment="1" applyProtection="1">
      <alignment horizontal="center"/>
      <protection locked="0"/>
    </xf>
    <xf numFmtId="1" fontId="6" fillId="0" borderId="2" xfId="0" applyNumberFormat="1" applyFont="1" applyBorder="1" applyAlignment="1" applyProtection="1">
      <alignment horizontal="center"/>
      <protection locked="0"/>
    </xf>
    <xf numFmtId="165" fontId="6" fillId="0" borderId="2" xfId="0" applyNumberFormat="1" applyFont="1" applyBorder="1" applyAlignment="1" applyProtection="1">
      <alignment horizontal="center"/>
      <protection locked="0"/>
    </xf>
    <xf numFmtId="165" fontId="5" fillId="4" borderId="2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5" fillId="0" borderId="0" xfId="0" quotePrefix="1" applyFont="1"/>
    <xf numFmtId="164" fontId="5" fillId="4" borderId="2" xfId="0" applyNumberFormat="1" applyFont="1" applyFill="1" applyBorder="1" applyAlignment="1">
      <alignment horizontal="center"/>
    </xf>
    <xf numFmtId="1" fontId="5" fillId="4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3" fontId="5" fillId="4" borderId="2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0" fontId="5" fillId="0" borderId="0" xfId="2" applyFont="1"/>
    <xf numFmtId="0" fontId="7" fillId="0" borderId="0" xfId="2" applyFont="1" applyAlignment="1">
      <alignment horizontal="center"/>
    </xf>
    <xf numFmtId="8" fontId="6" fillId="0" borderId="2" xfId="2" applyNumberFormat="1" applyFont="1" applyBorder="1" applyAlignment="1" applyProtection="1">
      <alignment horizontal="center"/>
      <protection locked="0"/>
    </xf>
    <xf numFmtId="9" fontId="6" fillId="0" borderId="2" xfId="2" applyNumberFormat="1" applyFont="1" applyBorder="1" applyAlignment="1" applyProtection="1">
      <alignment horizontal="center"/>
      <protection locked="0"/>
    </xf>
    <xf numFmtId="0" fontId="6" fillId="0" borderId="2" xfId="2" applyFont="1" applyBorder="1" applyAlignment="1" applyProtection="1">
      <alignment horizontal="center"/>
      <protection locked="0"/>
    </xf>
    <xf numFmtId="44" fontId="5" fillId="4" borderId="2" xfId="1" applyFont="1" applyFill="1" applyBorder="1" applyAlignment="1" applyProtection="1">
      <alignment horizontal="center"/>
      <protection hidden="1"/>
    </xf>
    <xf numFmtId="0" fontId="4" fillId="0" borderId="0" xfId="2" applyFont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0" fillId="3" borderId="1" xfId="0" applyFill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left"/>
    </xf>
    <xf numFmtId="6" fontId="11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6" fontId="13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4" fillId="0" borderId="0" xfId="0" applyFont="1" applyAlignment="1">
      <alignment horizontal="center"/>
    </xf>
    <xf numFmtId="166" fontId="14" fillId="6" borderId="5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3" fillId="0" borderId="5" xfId="0" applyFont="1" applyBorder="1" applyAlignment="1">
      <alignment horizontal="center"/>
    </xf>
    <xf numFmtId="0" fontId="0" fillId="0" borderId="0" xfId="0" applyAlignment="1">
      <alignment horizontal="right"/>
    </xf>
    <xf numFmtId="167" fontId="14" fillId="6" borderId="1" xfId="0" applyNumberFormat="1" applyFont="1" applyFill="1" applyBorder="1" applyAlignment="1">
      <alignment horizontal="center"/>
    </xf>
    <xf numFmtId="166" fontId="0" fillId="0" borderId="0" xfId="0" quotePrefix="1" applyNumberFormat="1"/>
    <xf numFmtId="166" fontId="0" fillId="0" borderId="0" xfId="0" applyNumberFormat="1"/>
    <xf numFmtId="0" fontId="0" fillId="0" borderId="0" xfId="0" quotePrefix="1"/>
    <xf numFmtId="168" fontId="0" fillId="0" borderId="0" xfId="0" quotePrefix="1" applyNumberFormat="1"/>
    <xf numFmtId="0" fontId="14" fillId="0" borderId="0" xfId="0" applyFont="1"/>
    <xf numFmtId="169" fontId="0" fillId="0" borderId="0" xfId="0" applyNumberFormat="1"/>
    <xf numFmtId="0" fontId="0" fillId="8" borderId="1" xfId="0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38" fontId="14" fillId="6" borderId="1" xfId="0" applyNumberFormat="1" applyFont="1" applyFill="1" applyBorder="1" applyAlignment="1">
      <alignment horizontal="center"/>
    </xf>
    <xf numFmtId="2" fontId="14" fillId="6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6" fontId="14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4" fillId="6" borderId="1" xfId="0" applyFont="1" applyFill="1" applyBorder="1"/>
    <xf numFmtId="0" fontId="14" fillId="0" borderId="1" xfId="0" applyFont="1" applyBorder="1"/>
    <xf numFmtId="166" fontId="14" fillId="0" borderId="1" xfId="0" applyNumberFormat="1" applyFont="1" applyBorder="1" applyAlignment="1">
      <alignment horizontal="center"/>
    </xf>
    <xf numFmtId="0" fontId="16" fillId="0" borderId="1" xfId="0" applyFont="1" applyBorder="1"/>
    <xf numFmtId="166" fontId="1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170" fontId="14" fillId="6" borderId="1" xfId="0" applyNumberFormat="1" applyFont="1" applyFill="1" applyBorder="1" applyAlignment="1">
      <alignment horizontal="center"/>
    </xf>
    <xf numFmtId="170" fontId="12" fillId="0" borderId="1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9" fontId="0" fillId="0" borderId="0" xfId="0" applyNumberFormat="1"/>
    <xf numFmtId="8" fontId="0" fillId="0" borderId="0" xfId="0" applyNumberFormat="1"/>
  </cellXfs>
  <cellStyles count="3">
    <cellStyle name="Currency" xfId="1" builtinId="4"/>
    <cellStyle name="Normal" xfId="0" builtinId="0"/>
    <cellStyle name="Normal 2" xfId="2" xr:uid="{A4970F62-649D-466C-80C2-BBE808266915}"/>
  </cellStyles>
  <dxfs count="8">
    <dxf>
      <fill>
        <patternFill patternType="gray125">
          <fgColor theme="3" tint="0.39997558519241921"/>
          <bgColor auto="1"/>
        </patternFill>
      </fill>
    </dxf>
    <dxf>
      <fill>
        <patternFill patternType="gray125">
          <fgColor theme="3" tint="0.39997558519241921"/>
          <bgColor auto="1"/>
        </patternFill>
      </fill>
    </dxf>
    <dxf>
      <fill>
        <patternFill patternType="gray125">
          <fgColor theme="3" tint="0.39997558519241921"/>
          <bgColor auto="1"/>
        </patternFill>
      </fill>
    </dxf>
    <dxf>
      <fill>
        <patternFill patternType="gray125">
          <fgColor theme="3" tint="0.39997558519241921"/>
          <bgColor auto="1"/>
        </patternFill>
      </fill>
    </dxf>
    <dxf>
      <fill>
        <patternFill patternType="gray125">
          <fgColor theme="3" tint="0.39997558519241921"/>
          <bgColor auto="1"/>
        </patternFill>
      </fill>
    </dxf>
    <dxf>
      <fill>
        <patternFill patternType="gray125">
          <fgColor theme="3" tint="0.39997558519241921"/>
          <bgColor auto="1"/>
        </patternFill>
      </fill>
    </dxf>
    <dxf>
      <fill>
        <patternFill patternType="gray125">
          <fgColor theme="3" tint="0.39997558519241921"/>
          <bgColor auto="1"/>
        </patternFill>
      </fill>
    </dxf>
    <dxf>
      <fill>
        <patternFill patternType="gray125">
          <fgColor theme="3" tint="0.39997558519241921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167640</xdr:colOff>
      <xdr:row>0</xdr:row>
      <xdr:rowOff>144780</xdr:rowOff>
    </xdr:from>
    <xdr:ext cx="1190625" cy="1233488"/>
    <xdr:pic>
      <xdr:nvPicPr>
        <xdr:cNvPr id="2" name="Picture 12">
          <a:extLst>
            <a:ext uri="{FF2B5EF4-FFF2-40B4-BE49-F238E27FC236}">
              <a16:creationId xmlns:a16="http://schemas.microsoft.com/office/drawing/2014/main" id="{97798F76-85A0-4189-83AD-BDDFBF5F9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06690" y="144780"/>
          <a:ext cx="1190625" cy="1233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266700</xdr:colOff>
      <xdr:row>0</xdr:row>
      <xdr:rowOff>160020</xdr:rowOff>
    </xdr:from>
    <xdr:ext cx="1190625" cy="1233488"/>
    <xdr:pic>
      <xdr:nvPicPr>
        <xdr:cNvPr id="2" name="Picture 12">
          <a:extLst>
            <a:ext uri="{FF2B5EF4-FFF2-40B4-BE49-F238E27FC236}">
              <a16:creationId xmlns:a16="http://schemas.microsoft.com/office/drawing/2014/main" id="{FF0D81E4-3F78-4248-B3D3-B60E3026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53350" y="160020"/>
          <a:ext cx="1190625" cy="12334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topLeftCell="A4" workbookViewId="0">
      <selection activeCell="C8" sqref="C8"/>
    </sheetView>
  </sheetViews>
  <sheetFormatPr defaultRowHeight="14.25" x14ac:dyDescent="0.45"/>
  <cols>
    <col min="2" max="2" width="6.265625" bestFit="1" customWidth="1"/>
    <col min="3" max="3" width="45" bestFit="1" customWidth="1"/>
    <col min="4" max="4" width="29.1328125" bestFit="1" customWidth="1"/>
    <col min="5" max="5" width="29.1328125" customWidth="1"/>
    <col min="6" max="6" width="61.265625" bestFit="1" customWidth="1"/>
    <col min="7" max="7" width="63.1328125" customWidth="1"/>
  </cols>
  <sheetData>
    <row r="2" spans="2:7" x14ac:dyDescent="0.45">
      <c r="B2" t="s">
        <v>0</v>
      </c>
      <c r="C2" t="s">
        <v>1</v>
      </c>
      <c r="D2" t="s">
        <v>2</v>
      </c>
      <c r="E2" t="s">
        <v>20</v>
      </c>
      <c r="F2" t="s">
        <v>4</v>
      </c>
      <c r="G2" t="s">
        <v>3</v>
      </c>
    </row>
    <row r="3" spans="2:7" ht="99.75" x14ac:dyDescent="0.45">
      <c r="B3" s="3" t="s">
        <v>5</v>
      </c>
      <c r="C3" s="3" t="s">
        <v>6</v>
      </c>
      <c r="D3" s="3" t="s">
        <v>7</v>
      </c>
      <c r="E3" s="86" t="s">
        <v>21</v>
      </c>
      <c r="F3" s="2" t="s">
        <v>24</v>
      </c>
      <c r="G3" s="2" t="s">
        <v>25</v>
      </c>
    </row>
    <row r="4" spans="2:7" ht="57" x14ac:dyDescent="0.45">
      <c r="B4" s="3" t="s">
        <v>8</v>
      </c>
      <c r="C4" s="3" t="s">
        <v>9</v>
      </c>
      <c r="D4" s="3" t="s">
        <v>10</v>
      </c>
      <c r="E4" s="87"/>
      <c r="F4" s="2" t="s">
        <v>22</v>
      </c>
      <c r="G4" s="2" t="s">
        <v>23</v>
      </c>
    </row>
    <row r="5" spans="2:7" ht="42.75" x14ac:dyDescent="0.45">
      <c r="B5" s="3" t="s">
        <v>11</v>
      </c>
      <c r="C5" s="3" t="s">
        <v>12</v>
      </c>
      <c r="D5" s="3" t="s">
        <v>13</v>
      </c>
      <c r="E5" s="87"/>
      <c r="F5" s="2" t="s">
        <v>29</v>
      </c>
      <c r="G5" s="2" t="s">
        <v>30</v>
      </c>
    </row>
    <row r="6" spans="2:7" ht="57" x14ac:dyDescent="0.45">
      <c r="B6" s="3" t="s">
        <v>14</v>
      </c>
      <c r="C6" s="3" t="s">
        <v>15</v>
      </c>
      <c r="D6" s="3" t="s">
        <v>16</v>
      </c>
      <c r="E6" s="87"/>
      <c r="F6" s="2" t="s">
        <v>31</v>
      </c>
      <c r="G6" s="2" t="s">
        <v>32</v>
      </c>
    </row>
    <row r="7" spans="2:7" ht="57" x14ac:dyDescent="0.45">
      <c r="B7" s="3" t="s">
        <v>17</v>
      </c>
      <c r="C7" s="3" t="s">
        <v>18</v>
      </c>
      <c r="D7" s="3" t="s">
        <v>19</v>
      </c>
      <c r="E7" s="87"/>
      <c r="F7" s="2" t="s">
        <v>33</v>
      </c>
      <c r="G7" s="2" t="s">
        <v>34</v>
      </c>
    </row>
    <row r="8" spans="2:7" ht="71.25" x14ac:dyDescent="0.45">
      <c r="B8" s="3" t="s">
        <v>26</v>
      </c>
      <c r="C8" s="3" t="s">
        <v>45</v>
      </c>
      <c r="D8" s="3" t="s">
        <v>43</v>
      </c>
      <c r="E8" s="2" t="s">
        <v>44</v>
      </c>
      <c r="F8" s="2" t="s">
        <v>28</v>
      </c>
      <c r="G8" s="4" t="s">
        <v>27</v>
      </c>
    </row>
    <row r="9" spans="2:7" ht="57" x14ac:dyDescent="0.45">
      <c r="B9" s="3" t="s">
        <v>50</v>
      </c>
      <c r="C9" s="3" t="s">
        <v>55</v>
      </c>
      <c r="D9" s="3" t="s">
        <v>169</v>
      </c>
      <c r="E9" s="2" t="s">
        <v>170</v>
      </c>
      <c r="F9" s="2" t="s">
        <v>171</v>
      </c>
      <c r="G9" s="2" t="s">
        <v>172</v>
      </c>
    </row>
  </sheetData>
  <mergeCells count="1">
    <mergeCell ref="E3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A59C-A307-4A8F-9B88-83CF75E44F3C}">
  <dimension ref="B2:M29"/>
  <sheetViews>
    <sheetView topLeftCell="A8" workbookViewId="0">
      <selection activeCell="M5" sqref="M5"/>
    </sheetView>
  </sheetViews>
  <sheetFormatPr defaultRowHeight="14.25" x14ac:dyDescent="0.45"/>
  <sheetData>
    <row r="2" spans="2:13" x14ac:dyDescent="0.45">
      <c r="B2" s="29" t="s">
        <v>54</v>
      </c>
      <c r="C2" s="23"/>
      <c r="D2" s="23"/>
      <c r="E2" s="23"/>
      <c r="H2" s="17" t="s">
        <v>26</v>
      </c>
      <c r="I2" s="6"/>
      <c r="J2" s="6"/>
      <c r="L2" s="5" t="s">
        <v>50</v>
      </c>
      <c r="M2" s="6"/>
    </row>
    <row r="3" spans="2:13" x14ac:dyDescent="0.45">
      <c r="B3" s="24" t="s">
        <v>51</v>
      </c>
      <c r="C3" s="24" t="s">
        <v>35</v>
      </c>
      <c r="D3" s="24" t="s">
        <v>52</v>
      </c>
      <c r="E3" s="24" t="s">
        <v>53</v>
      </c>
      <c r="H3" s="18" t="s">
        <v>46</v>
      </c>
      <c r="I3" s="6"/>
      <c r="J3" s="18" t="s">
        <v>26</v>
      </c>
      <c r="L3" s="6"/>
      <c r="M3" s="18" t="s">
        <v>50</v>
      </c>
    </row>
    <row r="4" spans="2:13" x14ac:dyDescent="0.45">
      <c r="B4" s="25">
        <v>100</v>
      </c>
      <c r="C4" s="26">
        <v>0.03</v>
      </c>
      <c r="D4" s="27">
        <v>4</v>
      </c>
      <c r="E4" s="28">
        <f>B4*(1+C4)^D4</f>
        <v>112.55088099999999</v>
      </c>
      <c r="H4" s="9">
        <v>0.08</v>
      </c>
      <c r="I4" s="6"/>
      <c r="J4" s="19">
        <f>SUM(J8:J18)</f>
        <v>325356</v>
      </c>
      <c r="L4" s="6"/>
      <c r="M4" s="15">
        <f>IRR(M8:M18)</f>
        <v>0.24046195470413667</v>
      </c>
    </row>
    <row r="5" spans="2:13" x14ac:dyDescent="0.45">
      <c r="H5" s="13" t="s">
        <v>40</v>
      </c>
      <c r="I5" s="6"/>
      <c r="J5" s="6"/>
      <c r="L5" s="6"/>
      <c r="M5" s="13" t="s">
        <v>40</v>
      </c>
    </row>
    <row r="6" spans="2:13" x14ac:dyDescent="0.45">
      <c r="B6" s="5" t="s">
        <v>11</v>
      </c>
      <c r="C6" s="6"/>
      <c r="D6" s="6"/>
      <c r="E6" s="6"/>
      <c r="F6" s="6"/>
      <c r="H6" s="6"/>
      <c r="I6" s="6"/>
      <c r="J6" s="6"/>
      <c r="L6" s="6"/>
      <c r="M6" s="6"/>
    </row>
    <row r="7" spans="2:13" x14ac:dyDescent="0.45">
      <c r="B7" s="7" t="s">
        <v>35</v>
      </c>
      <c r="C7" s="7" t="s">
        <v>36</v>
      </c>
      <c r="D7" s="7" t="s">
        <v>37</v>
      </c>
      <c r="E7" s="7" t="s">
        <v>38</v>
      </c>
      <c r="F7" s="8" t="s">
        <v>39</v>
      </c>
      <c r="H7" s="7" t="s">
        <v>47</v>
      </c>
      <c r="I7" s="7" t="s">
        <v>48</v>
      </c>
      <c r="J7" s="20" t="s">
        <v>49</v>
      </c>
      <c r="L7" s="7" t="s">
        <v>47</v>
      </c>
      <c r="M7" s="7" t="s">
        <v>48</v>
      </c>
    </row>
    <row r="8" spans="2:13" x14ac:dyDescent="0.45">
      <c r="B8" s="9">
        <v>0.05</v>
      </c>
      <c r="C8" s="10">
        <v>60</v>
      </c>
      <c r="D8" s="11">
        <v>140000</v>
      </c>
      <c r="E8" s="11">
        <v>-10000</v>
      </c>
      <c r="F8" s="12">
        <f>PMT(B8/12,C8,D8,E8)</f>
        <v>-2494.9270403880882</v>
      </c>
      <c r="H8" s="21">
        <v>0</v>
      </c>
      <c r="I8" s="11">
        <v>-200000</v>
      </c>
      <c r="J8" s="22">
        <f>I8</f>
        <v>-200000</v>
      </c>
      <c r="L8" s="21">
        <v>0</v>
      </c>
      <c r="M8" s="11">
        <v>-200000</v>
      </c>
    </row>
    <row r="9" spans="2:13" x14ac:dyDescent="0.45">
      <c r="B9" s="13" t="s">
        <v>40</v>
      </c>
      <c r="C9" s="13" t="s">
        <v>41</v>
      </c>
      <c r="D9" s="6"/>
      <c r="E9" s="6"/>
      <c r="F9" s="6"/>
      <c r="H9" s="21">
        <v>1</v>
      </c>
      <c r="I9" s="11">
        <v>56990</v>
      </c>
      <c r="J9" s="22">
        <f>I9/(1+$W$10)^H9</f>
        <v>56990</v>
      </c>
      <c r="L9" s="21">
        <v>1</v>
      </c>
      <c r="M9" s="11">
        <v>56990</v>
      </c>
    </row>
    <row r="10" spans="2:13" x14ac:dyDescent="0.45">
      <c r="H10" s="21">
        <v>2</v>
      </c>
      <c r="I10" s="11">
        <v>54637</v>
      </c>
      <c r="J10" s="22">
        <f t="shared" ref="J10:J18" si="0">I10/(1+$W$10)^H10</f>
        <v>54637</v>
      </c>
      <c r="L10" s="21">
        <v>2</v>
      </c>
      <c r="M10" s="11">
        <v>54637</v>
      </c>
    </row>
    <row r="11" spans="2:13" x14ac:dyDescent="0.45">
      <c r="B11" s="5" t="s">
        <v>5</v>
      </c>
      <c r="C11" s="6"/>
      <c r="D11" s="6"/>
      <c r="E11" s="6"/>
      <c r="F11" s="6"/>
      <c r="H11" s="21">
        <v>3</v>
      </c>
      <c r="I11" s="11">
        <v>56529</v>
      </c>
      <c r="J11" s="22">
        <f t="shared" si="0"/>
        <v>56529</v>
      </c>
      <c r="L11" s="21">
        <v>3</v>
      </c>
      <c r="M11" s="11">
        <v>56529</v>
      </c>
    </row>
    <row r="12" spans="2:13" x14ac:dyDescent="0.45">
      <c r="B12" s="7" t="s">
        <v>35</v>
      </c>
      <c r="C12" s="7" t="s">
        <v>36</v>
      </c>
      <c r="D12" s="8" t="s">
        <v>37</v>
      </c>
      <c r="E12" s="7" t="s">
        <v>38</v>
      </c>
      <c r="F12" s="7" t="s">
        <v>39</v>
      </c>
      <c r="H12" s="21">
        <v>4</v>
      </c>
      <c r="I12" s="11">
        <v>58957</v>
      </c>
      <c r="J12" s="22">
        <f t="shared" si="0"/>
        <v>58957</v>
      </c>
      <c r="L12" s="21">
        <v>4</v>
      </c>
      <c r="M12" s="11">
        <v>58957</v>
      </c>
    </row>
    <row r="13" spans="2:13" x14ac:dyDescent="0.45">
      <c r="B13" s="9">
        <v>0.03</v>
      </c>
      <c r="C13" s="10">
        <v>9</v>
      </c>
      <c r="D13" s="12">
        <f>PV(B13/12,C13,F13,E13,1)</f>
        <v>31774.274275473723</v>
      </c>
      <c r="E13" s="11">
        <v>-600</v>
      </c>
      <c r="F13" s="11">
        <v>-3500</v>
      </c>
      <c r="H13" s="21">
        <v>5</v>
      </c>
      <c r="I13" s="11">
        <v>48988</v>
      </c>
      <c r="J13" s="22">
        <f t="shared" si="0"/>
        <v>48988</v>
      </c>
      <c r="L13" s="21">
        <v>5</v>
      </c>
      <c r="M13" s="11">
        <v>48988</v>
      </c>
    </row>
    <row r="14" spans="2:13" x14ac:dyDescent="0.45">
      <c r="B14" s="13" t="s">
        <v>40</v>
      </c>
      <c r="C14" s="13" t="s">
        <v>41</v>
      </c>
      <c r="H14" s="21">
        <v>6</v>
      </c>
      <c r="I14" s="11">
        <v>58416</v>
      </c>
      <c r="J14" s="22">
        <f t="shared" si="0"/>
        <v>58416</v>
      </c>
      <c r="L14" s="21">
        <v>6</v>
      </c>
      <c r="M14" s="11">
        <v>58416</v>
      </c>
    </row>
    <row r="15" spans="2:13" x14ac:dyDescent="0.45">
      <c r="H15" s="21">
        <v>7</v>
      </c>
      <c r="I15" s="11">
        <v>40820</v>
      </c>
      <c r="J15" s="22">
        <f t="shared" si="0"/>
        <v>40820</v>
      </c>
      <c r="L15" s="21">
        <v>7</v>
      </c>
      <c r="M15" s="11">
        <v>40820</v>
      </c>
    </row>
    <row r="16" spans="2:13" x14ac:dyDescent="0.45">
      <c r="B16" s="5" t="s">
        <v>8</v>
      </c>
      <c r="C16" s="6"/>
      <c r="D16" s="6"/>
      <c r="E16" s="6"/>
      <c r="F16" s="6"/>
      <c r="H16" s="21">
        <v>8</v>
      </c>
      <c r="I16" s="11">
        <v>56935</v>
      </c>
      <c r="J16" s="22">
        <f t="shared" si="0"/>
        <v>56935</v>
      </c>
      <c r="L16" s="21">
        <v>8</v>
      </c>
      <c r="M16" s="11">
        <v>56935</v>
      </c>
    </row>
    <row r="17" spans="2:13" x14ac:dyDescent="0.45">
      <c r="B17" s="7" t="s">
        <v>35</v>
      </c>
      <c r="C17" s="7" t="s">
        <v>36</v>
      </c>
      <c r="D17" s="7" t="s">
        <v>37</v>
      </c>
      <c r="E17" s="8" t="s">
        <v>38</v>
      </c>
      <c r="F17" s="7" t="s">
        <v>39</v>
      </c>
      <c r="H17" s="21">
        <v>9</v>
      </c>
      <c r="I17" s="11">
        <v>48186</v>
      </c>
      <c r="J17" s="22">
        <f t="shared" si="0"/>
        <v>48186</v>
      </c>
      <c r="L17" s="21">
        <v>9</v>
      </c>
      <c r="M17" s="11">
        <v>48186</v>
      </c>
    </row>
    <row r="18" spans="2:13" x14ac:dyDescent="0.45">
      <c r="B18" s="9">
        <v>6.5000000000000002E-2</v>
      </c>
      <c r="C18" s="10">
        <v>10</v>
      </c>
      <c r="D18" s="11">
        <v>-50000</v>
      </c>
      <c r="E18" s="12">
        <f>FV(B18,C18,F18,D18)</f>
        <v>201812.25360431208</v>
      </c>
      <c r="F18" s="11">
        <v>-8000</v>
      </c>
      <c r="H18" s="21">
        <v>10</v>
      </c>
      <c r="I18" s="11">
        <v>44898</v>
      </c>
      <c r="J18" s="22">
        <f t="shared" si="0"/>
        <v>44898</v>
      </c>
      <c r="L18" s="21">
        <v>10</v>
      </c>
      <c r="M18" s="11">
        <v>44898</v>
      </c>
    </row>
    <row r="19" spans="2:13" x14ac:dyDescent="0.45">
      <c r="B19" s="13" t="s">
        <v>40</v>
      </c>
      <c r="C19" s="13" t="s">
        <v>42</v>
      </c>
      <c r="D19" s="14"/>
      <c r="E19" s="14"/>
      <c r="F19" s="6"/>
    </row>
    <row r="21" spans="2:13" x14ac:dyDescent="0.45">
      <c r="B21" s="5" t="s">
        <v>35</v>
      </c>
      <c r="C21" s="6"/>
      <c r="D21" s="6"/>
      <c r="E21" s="6"/>
      <c r="F21" s="6"/>
    </row>
    <row r="22" spans="2:13" x14ac:dyDescent="0.45">
      <c r="B22" s="8" t="s">
        <v>35</v>
      </c>
      <c r="C22" s="7" t="s">
        <v>36</v>
      </c>
      <c r="D22" s="7" t="s">
        <v>37</v>
      </c>
      <c r="E22" s="7" t="s">
        <v>38</v>
      </c>
      <c r="F22" s="7" t="s">
        <v>39</v>
      </c>
    </row>
    <row r="23" spans="2:13" x14ac:dyDescent="0.45">
      <c r="B23" s="15">
        <f>RATE(C23,F23,D23,E23)</f>
        <v>9.5926932679625571E-2</v>
      </c>
      <c r="C23" s="10">
        <v>10</v>
      </c>
      <c r="D23" s="11">
        <v>-50000</v>
      </c>
      <c r="E23" s="11">
        <v>250000</v>
      </c>
      <c r="F23" s="11">
        <v>-8000</v>
      </c>
    </row>
    <row r="24" spans="2:13" x14ac:dyDescent="0.45">
      <c r="B24" s="13" t="s">
        <v>40</v>
      </c>
      <c r="C24" s="13" t="s">
        <v>42</v>
      </c>
      <c r="D24" s="14"/>
      <c r="E24" s="14"/>
      <c r="F24" s="6"/>
    </row>
    <row r="26" spans="2:13" x14ac:dyDescent="0.45">
      <c r="B26" s="5" t="s">
        <v>36</v>
      </c>
      <c r="C26" s="6"/>
      <c r="D26" s="6"/>
      <c r="E26" s="6"/>
      <c r="F26" s="6"/>
    </row>
    <row r="27" spans="2:13" x14ac:dyDescent="0.45">
      <c r="B27" s="7" t="s">
        <v>35</v>
      </c>
      <c r="C27" s="8" t="s">
        <v>36</v>
      </c>
      <c r="D27" s="7" t="s">
        <v>37</v>
      </c>
      <c r="E27" s="7" t="s">
        <v>38</v>
      </c>
      <c r="F27" s="7" t="s">
        <v>39</v>
      </c>
    </row>
    <row r="28" spans="2:13" x14ac:dyDescent="0.45">
      <c r="B28" s="9">
        <v>0.08</v>
      </c>
      <c r="C28" s="16">
        <f>NPER(B28,F28,D28,E28)</f>
        <v>11.009438644268162</v>
      </c>
      <c r="D28" s="11">
        <v>-50000</v>
      </c>
      <c r="E28" s="11">
        <v>250000</v>
      </c>
      <c r="F28" s="11">
        <v>-8000</v>
      </c>
    </row>
    <row r="29" spans="2:13" x14ac:dyDescent="0.45">
      <c r="B29" s="13" t="s">
        <v>40</v>
      </c>
      <c r="C29" s="13" t="s">
        <v>42</v>
      </c>
      <c r="D29" s="14"/>
      <c r="E29" s="6"/>
      <c r="F29" s="6"/>
    </row>
  </sheetData>
  <conditionalFormatting sqref="B28 D28:F28">
    <cfRule type="cellIs" dxfId="7" priority="4" stopIfTrue="1" operator="equal">
      <formula>""</formula>
    </cfRule>
  </conditionalFormatting>
  <conditionalFormatting sqref="B13:C13 E13:F13">
    <cfRule type="cellIs" dxfId="6" priority="7" stopIfTrue="1" operator="equal">
      <formula>""</formula>
    </cfRule>
  </conditionalFormatting>
  <conditionalFormatting sqref="B4:D4">
    <cfRule type="cellIs" dxfId="5" priority="1" stopIfTrue="1" operator="equal">
      <formula>""</formula>
    </cfRule>
  </conditionalFormatting>
  <conditionalFormatting sqref="B18:D18 F18">
    <cfRule type="cellIs" dxfId="4" priority="6" stopIfTrue="1" operator="equal">
      <formula>""</formula>
    </cfRule>
  </conditionalFormatting>
  <conditionalFormatting sqref="B8:E8">
    <cfRule type="cellIs" dxfId="3" priority="8" stopIfTrue="1" operator="equal">
      <formula>""</formula>
    </cfRule>
  </conditionalFormatting>
  <conditionalFormatting sqref="C23:F23">
    <cfRule type="cellIs" dxfId="2" priority="5" stopIfTrue="1" operator="equal">
      <formula>""</formula>
    </cfRule>
  </conditionalFormatting>
  <conditionalFormatting sqref="H4 I8:I18">
    <cfRule type="cellIs" dxfId="1" priority="3" stopIfTrue="1" operator="equal">
      <formula>""</formula>
    </cfRule>
  </conditionalFormatting>
  <conditionalFormatting sqref="M8:M18">
    <cfRule type="cellIs" dxfId="0" priority="2" stopIfTrue="1" operator="equal">
      <formula>""</formula>
    </cfRule>
  </conditionalFormatting>
  <dataValidations count="1">
    <dataValidation type="whole" operator="greaterThanOrEqual" allowBlank="1" showInputMessage="1" showErrorMessage="1" sqref="D4" xr:uid="{00172C3C-EE6C-468D-8FBA-76BC15FE8824}">
      <formula1>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649B-729E-48D9-BE0C-21162292B8CB}">
  <dimension ref="B1:P36"/>
  <sheetViews>
    <sheetView workbookViewId="0">
      <selection activeCell="J12" sqref="J12"/>
    </sheetView>
  </sheetViews>
  <sheetFormatPr defaultColWidth="8.86328125" defaultRowHeight="14.25" x14ac:dyDescent="0.45"/>
  <cols>
    <col min="1" max="1" width="2.86328125" customWidth="1"/>
    <col min="2" max="2" width="5.1328125" style="1" customWidth="1"/>
    <col min="3" max="3" width="19" bestFit="1" customWidth="1"/>
    <col min="4" max="7" width="9.86328125" style="1" customWidth="1"/>
    <col min="8" max="8" width="6.1328125" style="1" customWidth="1"/>
    <col min="9" max="11" width="6.1328125" customWidth="1"/>
    <col min="13" max="13" width="2.3984375" customWidth="1"/>
    <col min="14" max="14" width="18.3984375" bestFit="1" customWidth="1"/>
    <col min="16" max="16" width="25.3984375" bestFit="1" customWidth="1"/>
  </cols>
  <sheetData>
    <row r="1" spans="2:16" x14ac:dyDescent="0.45">
      <c r="B1" s="36" t="s">
        <v>197</v>
      </c>
    </row>
    <row r="2" spans="2:16" x14ac:dyDescent="0.45">
      <c r="B2" s="37"/>
    </row>
    <row r="3" spans="2:16" x14ac:dyDescent="0.45">
      <c r="B3" s="37" t="s">
        <v>198</v>
      </c>
    </row>
    <row r="4" spans="2:16" x14ac:dyDescent="0.45">
      <c r="B4" s="37" t="s">
        <v>199</v>
      </c>
    </row>
    <row r="5" spans="2:16" x14ac:dyDescent="0.45">
      <c r="B5" s="37" t="s">
        <v>200</v>
      </c>
    </row>
    <row r="6" spans="2:16" x14ac:dyDescent="0.45">
      <c r="B6" s="37" t="s">
        <v>201</v>
      </c>
    </row>
    <row r="7" spans="2:16" x14ac:dyDescent="0.45">
      <c r="B7" s="37" t="s">
        <v>202</v>
      </c>
      <c r="N7" s="36" t="s">
        <v>203</v>
      </c>
    </row>
    <row r="8" spans="2:16" x14ac:dyDescent="0.45">
      <c r="B8"/>
      <c r="H8" s="1" t="s">
        <v>126</v>
      </c>
      <c r="I8" s="1" t="s">
        <v>128</v>
      </c>
      <c r="J8" s="1" t="s">
        <v>204</v>
      </c>
      <c r="K8" s="1" t="s">
        <v>205</v>
      </c>
    </row>
    <row r="9" spans="2:16" x14ac:dyDescent="0.45">
      <c r="D9" s="80" t="s">
        <v>79</v>
      </c>
      <c r="E9" s="81"/>
      <c r="F9" s="81"/>
      <c r="G9" s="82"/>
      <c r="H9" s="83" t="s">
        <v>206</v>
      </c>
      <c r="I9" s="84"/>
      <c r="J9" s="84"/>
      <c r="K9" s="85"/>
      <c r="N9" s="40" t="s">
        <v>79</v>
      </c>
      <c r="O9" s="40" t="s">
        <v>207</v>
      </c>
      <c r="P9" s="75" t="s">
        <v>208</v>
      </c>
    </row>
    <row r="10" spans="2:16" x14ac:dyDescent="0.45">
      <c r="B10" s="40" t="s">
        <v>105</v>
      </c>
      <c r="C10" s="41" t="s">
        <v>0</v>
      </c>
      <c r="D10" s="40" t="s">
        <v>107</v>
      </c>
      <c r="E10" s="40" t="s">
        <v>108</v>
      </c>
      <c r="F10" s="40" t="s">
        <v>109</v>
      </c>
      <c r="G10" s="40" t="s">
        <v>110</v>
      </c>
      <c r="H10" s="76" t="s">
        <v>107</v>
      </c>
      <c r="I10" s="76" t="s">
        <v>108</v>
      </c>
      <c r="J10" s="76" t="s">
        <v>109</v>
      </c>
      <c r="K10" s="76" t="s">
        <v>110</v>
      </c>
      <c r="N10" s="42" t="s">
        <v>209</v>
      </c>
      <c r="O10" s="77">
        <v>1001</v>
      </c>
      <c r="P10" s="42">
        <v>0.2</v>
      </c>
    </row>
    <row r="11" spans="2:16" x14ac:dyDescent="0.45">
      <c r="B11" s="42">
        <v>1</v>
      </c>
      <c r="C11" s="43" t="s">
        <v>112</v>
      </c>
      <c r="D11" s="45">
        <v>2510</v>
      </c>
      <c r="E11" s="45">
        <v>3210</v>
      </c>
      <c r="F11" s="45">
        <v>2960</v>
      </c>
      <c r="G11" s="45">
        <v>1040</v>
      </c>
      <c r="H11" s="78">
        <f t="shared" ref="H11:H20" si="0">LOOKUP(D11,$O$10:$O$15,$P$10:$P$15)</f>
        <v>0.8</v>
      </c>
      <c r="I11" s="78">
        <f t="shared" ref="I11:I20" si="1">VLOOKUP(E11,$O$10:$P$15,2)</f>
        <v>1</v>
      </c>
      <c r="J11" s="78">
        <f>INDEX($P$10:$P$15,MATCH(F11,$O$10:$O$15,1))</f>
        <v>0.8</v>
      </c>
      <c r="K11" s="78">
        <f>_xlfn.XLOOKUP(G11,$O$10:$O$15,$P$10:$P$15,,-1)</f>
        <v>0.2</v>
      </c>
      <c r="N11" s="42" t="s">
        <v>210</v>
      </c>
      <c r="O11" s="77">
        <v>1501</v>
      </c>
      <c r="P11" s="42">
        <v>0.4</v>
      </c>
    </row>
    <row r="12" spans="2:16" x14ac:dyDescent="0.45">
      <c r="B12" s="42">
        <v>2</v>
      </c>
      <c r="C12" s="43" t="s">
        <v>113</v>
      </c>
      <c r="D12" s="45">
        <v>3620</v>
      </c>
      <c r="E12" s="45">
        <v>2950</v>
      </c>
      <c r="F12" s="45">
        <v>3010</v>
      </c>
      <c r="G12" s="45">
        <v>2970</v>
      </c>
      <c r="H12" s="78">
        <f t="shared" si="0"/>
        <v>1.2</v>
      </c>
      <c r="I12" s="78">
        <f t="shared" si="1"/>
        <v>0.8</v>
      </c>
      <c r="J12" s="78">
        <f t="shared" ref="J12:J20" si="2">INDEX($P$10:$P$15,MATCH(F12,$O$10:$O$15,1))</f>
        <v>1</v>
      </c>
      <c r="K12" s="78">
        <f t="shared" ref="K12:K20" si="3">_xlfn.XLOOKUP(G12,$O$10:$O$15,$P$10:$P$15,,-1)</f>
        <v>0.8</v>
      </c>
      <c r="N12" s="42" t="s">
        <v>211</v>
      </c>
      <c r="O12" s="77">
        <v>2001</v>
      </c>
      <c r="P12" s="42">
        <v>0.6</v>
      </c>
    </row>
    <row r="13" spans="2:16" x14ac:dyDescent="0.45">
      <c r="B13" s="42">
        <v>3</v>
      </c>
      <c r="C13" s="43" t="s">
        <v>114</v>
      </c>
      <c r="D13" s="45">
        <v>1800</v>
      </c>
      <c r="E13" s="45">
        <v>1990</v>
      </c>
      <c r="F13" s="45">
        <v>2370</v>
      </c>
      <c r="G13" s="45">
        <v>2660</v>
      </c>
      <c r="H13" s="78">
        <f t="shared" si="0"/>
        <v>0.4</v>
      </c>
      <c r="I13" s="78">
        <f t="shared" si="1"/>
        <v>0.4</v>
      </c>
      <c r="J13" s="78">
        <f t="shared" si="2"/>
        <v>0.6</v>
      </c>
      <c r="K13" s="78">
        <f t="shared" si="3"/>
        <v>0.8</v>
      </c>
      <c r="N13" s="42" t="s">
        <v>212</v>
      </c>
      <c r="O13" s="77">
        <v>2501</v>
      </c>
      <c r="P13" s="42">
        <v>0.8</v>
      </c>
    </row>
    <row r="14" spans="2:16" x14ac:dyDescent="0.45">
      <c r="B14" s="42">
        <v>4</v>
      </c>
      <c r="C14" s="43" t="s">
        <v>115</v>
      </c>
      <c r="D14" s="45">
        <v>1950</v>
      </c>
      <c r="E14" s="45">
        <v>2060</v>
      </c>
      <c r="F14" s="45">
        <v>2440</v>
      </c>
      <c r="G14" s="45">
        <v>2590</v>
      </c>
      <c r="H14" s="78">
        <f t="shared" si="0"/>
        <v>0.4</v>
      </c>
      <c r="I14" s="78">
        <f t="shared" si="1"/>
        <v>0.6</v>
      </c>
      <c r="J14" s="78">
        <f t="shared" si="2"/>
        <v>0.6</v>
      </c>
      <c r="K14" s="78">
        <f t="shared" si="3"/>
        <v>0.8</v>
      </c>
      <c r="N14" s="42" t="s">
        <v>213</v>
      </c>
      <c r="O14" s="77">
        <v>3001</v>
      </c>
      <c r="P14" s="79">
        <v>1</v>
      </c>
    </row>
    <row r="15" spans="2:16" x14ac:dyDescent="0.45">
      <c r="B15" s="42">
        <v>5</v>
      </c>
      <c r="C15" s="43" t="s">
        <v>117</v>
      </c>
      <c r="D15" s="45">
        <v>2200</v>
      </c>
      <c r="E15" s="45">
        <v>2430</v>
      </c>
      <c r="F15" s="45">
        <v>2630</v>
      </c>
      <c r="G15" s="45">
        <v>2210</v>
      </c>
      <c r="H15" s="78">
        <f t="shared" si="0"/>
        <v>0.6</v>
      </c>
      <c r="I15" s="78">
        <f t="shared" si="1"/>
        <v>0.6</v>
      </c>
      <c r="J15" s="78">
        <f t="shared" si="2"/>
        <v>0.8</v>
      </c>
      <c r="K15" s="78">
        <f t="shared" si="3"/>
        <v>0.6</v>
      </c>
      <c r="N15" s="42" t="s">
        <v>214</v>
      </c>
      <c r="O15" s="77">
        <v>3501</v>
      </c>
      <c r="P15" s="42">
        <v>1.2</v>
      </c>
    </row>
    <row r="16" spans="2:16" x14ac:dyDescent="0.45">
      <c r="B16" s="42">
        <v>6</v>
      </c>
      <c r="C16" s="43" t="s">
        <v>119</v>
      </c>
      <c r="D16" s="45">
        <v>3270</v>
      </c>
      <c r="E16" s="45">
        <v>3220</v>
      </c>
      <c r="F16" s="45">
        <v>3690</v>
      </c>
      <c r="G16" s="45">
        <v>3480</v>
      </c>
      <c r="H16" s="78">
        <f t="shared" si="0"/>
        <v>1</v>
      </c>
      <c r="I16" s="78">
        <f t="shared" si="1"/>
        <v>1</v>
      </c>
      <c r="J16" s="78">
        <f t="shared" si="2"/>
        <v>1.2</v>
      </c>
      <c r="K16" s="78">
        <f t="shared" si="3"/>
        <v>1</v>
      </c>
    </row>
    <row r="17" spans="2:11" x14ac:dyDescent="0.45">
      <c r="B17" s="42">
        <v>7</v>
      </c>
      <c r="C17" s="43" t="s">
        <v>122</v>
      </c>
      <c r="D17" s="45">
        <v>1390</v>
      </c>
      <c r="E17" s="45">
        <v>1740</v>
      </c>
      <c r="F17" s="45">
        <v>1670</v>
      </c>
      <c r="G17" s="45">
        <v>1840</v>
      </c>
      <c r="H17" s="78">
        <f t="shared" si="0"/>
        <v>0.2</v>
      </c>
      <c r="I17" s="78">
        <f t="shared" si="1"/>
        <v>0.4</v>
      </c>
      <c r="J17" s="78">
        <f t="shared" si="2"/>
        <v>0.4</v>
      </c>
      <c r="K17" s="78">
        <f t="shared" si="3"/>
        <v>0.4</v>
      </c>
    </row>
    <row r="18" spans="2:11" x14ac:dyDescent="0.45">
      <c r="B18" s="42">
        <v>8</v>
      </c>
      <c r="C18" s="43" t="s">
        <v>123</v>
      </c>
      <c r="D18" s="45">
        <v>2730</v>
      </c>
      <c r="E18" s="45">
        <v>2850</v>
      </c>
      <c r="F18" s="45">
        <v>2610</v>
      </c>
      <c r="G18" s="45">
        <v>2790</v>
      </c>
      <c r="H18" s="78">
        <f t="shared" si="0"/>
        <v>0.8</v>
      </c>
      <c r="I18" s="78">
        <f t="shared" si="1"/>
        <v>0.8</v>
      </c>
      <c r="J18" s="78">
        <f t="shared" si="2"/>
        <v>0.8</v>
      </c>
      <c r="K18" s="78">
        <f t="shared" si="3"/>
        <v>0.8</v>
      </c>
    </row>
    <row r="19" spans="2:11" x14ac:dyDescent="0.45">
      <c r="B19" s="42">
        <v>9</v>
      </c>
      <c r="C19" s="43" t="s">
        <v>124</v>
      </c>
      <c r="D19" s="45">
        <v>3040</v>
      </c>
      <c r="E19" s="45">
        <v>1390</v>
      </c>
      <c r="F19" s="45">
        <v>3110</v>
      </c>
      <c r="G19" s="45">
        <v>1610</v>
      </c>
      <c r="H19" s="78">
        <f t="shared" si="0"/>
        <v>1</v>
      </c>
      <c r="I19" s="78">
        <f t="shared" si="1"/>
        <v>0.2</v>
      </c>
      <c r="J19" s="78">
        <f t="shared" si="2"/>
        <v>1</v>
      </c>
      <c r="K19" s="78">
        <f t="shared" si="3"/>
        <v>0.4</v>
      </c>
    </row>
    <row r="20" spans="2:11" x14ac:dyDescent="0.45">
      <c r="B20" s="42">
        <v>10</v>
      </c>
      <c r="C20" s="43" t="s">
        <v>125</v>
      </c>
      <c r="D20" s="45">
        <v>2830</v>
      </c>
      <c r="E20" s="45">
        <v>2550</v>
      </c>
      <c r="F20" s="45">
        <v>2770</v>
      </c>
      <c r="G20" s="45">
        <v>2390</v>
      </c>
      <c r="H20" s="78">
        <f t="shared" si="0"/>
        <v>0.8</v>
      </c>
      <c r="I20" s="78">
        <f t="shared" si="1"/>
        <v>0.8</v>
      </c>
      <c r="J20" s="78">
        <f t="shared" si="2"/>
        <v>0.8</v>
      </c>
      <c r="K20" s="78">
        <f t="shared" si="3"/>
        <v>0.6</v>
      </c>
    </row>
    <row r="26" spans="2:11" x14ac:dyDescent="0.45">
      <c r="B26" s="37"/>
    </row>
    <row r="27" spans="2:11" ht="31.5" customHeight="1" x14ac:dyDescent="0.45">
      <c r="B27" s="37"/>
    </row>
    <row r="28" spans="2:11" x14ac:dyDescent="0.45">
      <c r="B28" s="37"/>
      <c r="G28" s="37"/>
    </row>
    <row r="29" spans="2:11" x14ac:dyDescent="0.45">
      <c r="B29" s="37"/>
      <c r="G29" s="37"/>
    </row>
    <row r="30" spans="2:11" x14ac:dyDescent="0.45">
      <c r="B30" s="37"/>
      <c r="G30" s="37"/>
    </row>
    <row r="31" spans="2:11" x14ac:dyDescent="0.45">
      <c r="B31" s="37"/>
      <c r="G31" s="37"/>
    </row>
    <row r="32" spans="2:11" x14ac:dyDescent="0.45">
      <c r="B32" s="37"/>
    </row>
    <row r="33" spans="2:2" x14ac:dyDescent="0.45">
      <c r="B33" s="37"/>
    </row>
    <row r="34" spans="2:2" x14ac:dyDescent="0.45">
      <c r="B34" s="37"/>
    </row>
    <row r="35" spans="2:2" x14ac:dyDescent="0.45">
      <c r="B35" s="37"/>
    </row>
    <row r="36" spans="2:2" x14ac:dyDescent="0.45">
      <c r="B36" s="37"/>
    </row>
  </sheetData>
  <mergeCells count="2">
    <mergeCell ref="D9:G9"/>
    <mergeCell ref="H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53A9-B6F8-464F-9DBA-EE71F485F86D}">
  <dimension ref="B2:L23"/>
  <sheetViews>
    <sheetView tabSelected="1" workbookViewId="0">
      <selection activeCell="G5" sqref="G5"/>
    </sheetView>
  </sheetViews>
  <sheetFormatPr defaultRowHeight="14.25" x14ac:dyDescent="0.45"/>
  <cols>
    <col min="10" max="10" width="12.1328125" customWidth="1"/>
    <col min="11" max="11" width="31.1328125" bestFit="1" customWidth="1"/>
    <col min="12" max="12" width="15.73046875" bestFit="1" customWidth="1"/>
  </cols>
  <sheetData>
    <row r="2" spans="2:12" x14ac:dyDescent="0.45">
      <c r="B2" s="30" t="s">
        <v>56</v>
      </c>
      <c r="C2" s="30" t="s">
        <v>57</v>
      </c>
      <c r="D2" s="30" t="s">
        <v>58</v>
      </c>
      <c r="E2" s="30" t="s">
        <v>59</v>
      </c>
      <c r="G2" s="31" t="s">
        <v>57</v>
      </c>
      <c r="H2" s="31" t="s">
        <v>58</v>
      </c>
    </row>
    <row r="3" spans="2:12" x14ac:dyDescent="0.45">
      <c r="B3" s="32">
        <v>4</v>
      </c>
      <c r="C3" s="3" t="s">
        <v>60</v>
      </c>
      <c r="D3" s="3" t="s">
        <v>61</v>
      </c>
      <c r="E3" s="3">
        <v>3000</v>
      </c>
      <c r="G3" s="33" t="s">
        <v>60</v>
      </c>
      <c r="H3" s="33" t="str">
        <f>VLOOKUP(G3,C3:E9,2,FALSE)</f>
        <v>Lim</v>
      </c>
    </row>
    <row r="4" spans="2:12" x14ac:dyDescent="0.45">
      <c r="B4" s="32">
        <v>6</v>
      </c>
      <c r="C4" s="3" t="s">
        <v>62</v>
      </c>
      <c r="D4" s="3" t="s">
        <v>63</v>
      </c>
      <c r="E4" s="3">
        <v>4248</v>
      </c>
      <c r="G4" s="34" t="s">
        <v>64</v>
      </c>
      <c r="H4" s="1"/>
      <c r="J4" t="s">
        <v>65</v>
      </c>
    </row>
    <row r="5" spans="2:12" x14ac:dyDescent="0.45">
      <c r="B5" s="32">
        <v>5</v>
      </c>
      <c r="C5" s="3" t="s">
        <v>66</v>
      </c>
      <c r="D5" s="3" t="s">
        <v>67</v>
      </c>
      <c r="E5" s="3">
        <v>4774</v>
      </c>
      <c r="G5" t="s">
        <v>64</v>
      </c>
    </row>
    <row r="6" spans="2:12" x14ac:dyDescent="0.45">
      <c r="B6" s="32">
        <v>1</v>
      </c>
      <c r="C6" s="3" t="s">
        <v>68</v>
      </c>
      <c r="D6" s="3" t="s">
        <v>69</v>
      </c>
      <c r="E6" s="3">
        <v>4900</v>
      </c>
      <c r="G6" s="31" t="s">
        <v>70</v>
      </c>
      <c r="H6" s="31" t="s">
        <v>57</v>
      </c>
    </row>
    <row r="7" spans="2:12" x14ac:dyDescent="0.45">
      <c r="B7" s="32">
        <v>2</v>
      </c>
      <c r="C7" s="3" t="s">
        <v>71</v>
      </c>
      <c r="D7" s="3" t="s">
        <v>72</v>
      </c>
      <c r="E7" s="3">
        <v>5234</v>
      </c>
      <c r="G7" s="35">
        <v>5000</v>
      </c>
      <c r="H7" s="33" t="str">
        <f>LOOKUP(G7,E3:E9,C3:C9)</f>
        <v>SOE</v>
      </c>
    </row>
    <row r="8" spans="2:12" x14ac:dyDescent="0.45">
      <c r="B8" s="32">
        <v>3</v>
      </c>
      <c r="C8" s="3" t="s">
        <v>73</v>
      </c>
      <c r="D8" s="3" t="s">
        <v>74</v>
      </c>
      <c r="E8" s="3">
        <v>6135</v>
      </c>
      <c r="G8" s="34" t="s">
        <v>75</v>
      </c>
    </row>
    <row r="9" spans="2:12" x14ac:dyDescent="0.45">
      <c r="B9" s="32">
        <v>7</v>
      </c>
      <c r="C9" s="3" t="s">
        <v>76</v>
      </c>
      <c r="D9" s="3" t="s">
        <v>77</v>
      </c>
      <c r="E9" s="3">
        <v>6585</v>
      </c>
    </row>
    <row r="10" spans="2:12" x14ac:dyDescent="0.45">
      <c r="G10" t="str">
        <f>INDEX(B2:E9,3,2)</f>
        <v>SOSS</v>
      </c>
    </row>
    <row r="11" spans="2:12" x14ac:dyDescent="0.45">
      <c r="G11" s="34" t="s">
        <v>78</v>
      </c>
    </row>
    <row r="13" spans="2:12" x14ac:dyDescent="0.45">
      <c r="G13">
        <f>MATCH("SOSS",C3:C9,0)</f>
        <v>2</v>
      </c>
      <c r="J13" t="s">
        <v>174</v>
      </c>
      <c r="K13" t="s">
        <v>175</v>
      </c>
      <c r="L13" t="s">
        <v>176</v>
      </c>
    </row>
    <row r="14" spans="2:12" x14ac:dyDescent="0.45">
      <c r="G14" s="34" t="s">
        <v>173</v>
      </c>
      <c r="J14">
        <v>0</v>
      </c>
      <c r="K14" t="s">
        <v>177</v>
      </c>
      <c r="L14" t="s">
        <v>178</v>
      </c>
    </row>
    <row r="15" spans="2:12" x14ac:dyDescent="0.45">
      <c r="J15">
        <v>1</v>
      </c>
      <c r="K15" t="s">
        <v>181</v>
      </c>
      <c r="L15" t="s">
        <v>179</v>
      </c>
    </row>
    <row r="16" spans="2:12" x14ac:dyDescent="0.45">
      <c r="J16">
        <v>-1</v>
      </c>
      <c r="K16" t="s">
        <v>182</v>
      </c>
      <c r="L16" t="s">
        <v>180</v>
      </c>
    </row>
    <row r="22" spans="9:12" x14ac:dyDescent="0.45">
      <c r="I22" t="s">
        <v>220</v>
      </c>
      <c r="K22" t="s">
        <v>221</v>
      </c>
      <c r="L22" t="s">
        <v>222</v>
      </c>
    </row>
    <row r="23" spans="9:12" x14ac:dyDescent="0.45">
      <c r="I23" t="s">
        <v>66</v>
      </c>
    </row>
  </sheetData>
  <dataValidations count="1">
    <dataValidation type="list" allowBlank="1" showInputMessage="1" showErrorMessage="1" sqref="G3 I23" xr:uid="{C9B98D04-8889-487B-BB38-D48F206B259A}">
      <formula1>$C$3:$C$9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E336-AEF1-4D2C-9F56-E08A2DC0739C}">
  <dimension ref="B1:J108"/>
  <sheetViews>
    <sheetView workbookViewId="0">
      <selection activeCell="H39" sqref="H39"/>
    </sheetView>
  </sheetViews>
  <sheetFormatPr defaultColWidth="8.86328125" defaultRowHeight="14.25" x14ac:dyDescent="0.45"/>
  <cols>
    <col min="1" max="1" width="2.86328125" customWidth="1"/>
    <col min="2" max="2" width="10.3984375" customWidth="1"/>
    <col min="3" max="3" width="11.1328125" customWidth="1"/>
    <col min="6" max="6" width="11.86328125" customWidth="1"/>
    <col min="7" max="7" width="15.86328125" bestFit="1" customWidth="1"/>
    <col min="8" max="8" width="11" bestFit="1" customWidth="1"/>
    <col min="10" max="10" width="11" bestFit="1" customWidth="1"/>
    <col min="11" max="11" width="5" customWidth="1"/>
  </cols>
  <sheetData>
    <row r="1" spans="2:10" x14ac:dyDescent="0.45">
      <c r="B1" s="36" t="s">
        <v>144</v>
      </c>
    </row>
    <row r="2" spans="2:10" x14ac:dyDescent="0.45">
      <c r="B2" t="s">
        <v>145</v>
      </c>
      <c r="C2" s="1"/>
      <c r="D2" s="1"/>
    </row>
    <row r="3" spans="2:10" x14ac:dyDescent="0.45">
      <c r="B3" t="s">
        <v>146</v>
      </c>
      <c r="C3" s="1"/>
      <c r="D3" s="1"/>
    </row>
    <row r="4" spans="2:10" x14ac:dyDescent="0.45">
      <c r="C4" s="1"/>
      <c r="D4" s="1"/>
    </row>
    <row r="5" spans="2:10" x14ac:dyDescent="0.45">
      <c r="B5" t="s">
        <v>147</v>
      </c>
      <c r="C5" s="1"/>
      <c r="D5" s="1"/>
    </row>
    <row r="6" spans="2:10" x14ac:dyDescent="0.45">
      <c r="B6" t="s">
        <v>148</v>
      </c>
      <c r="C6" s="1"/>
      <c r="D6" s="1"/>
    </row>
    <row r="7" spans="2:10" x14ac:dyDescent="0.45">
      <c r="C7" s="1"/>
      <c r="D7" s="1"/>
    </row>
    <row r="8" spans="2:10" ht="28.5" x14ac:dyDescent="0.45">
      <c r="B8" s="50" t="s">
        <v>149</v>
      </c>
      <c r="C8" s="51" t="s">
        <v>150</v>
      </c>
    </row>
    <row r="9" spans="2:10" x14ac:dyDescent="0.45">
      <c r="B9" s="44">
        <v>1890</v>
      </c>
      <c r="C9" s="52">
        <v>1</v>
      </c>
      <c r="D9" s="1"/>
      <c r="E9" s="53" t="s">
        <v>151</v>
      </c>
      <c r="F9" t="s">
        <v>152</v>
      </c>
    </row>
    <row r="10" spans="2:10" x14ac:dyDescent="0.45">
      <c r="B10" s="44">
        <v>4205</v>
      </c>
      <c r="C10" s="52">
        <v>6</v>
      </c>
      <c r="D10" s="1"/>
      <c r="F10" s="47" t="s">
        <v>153</v>
      </c>
      <c r="G10" s="54">
        <f>INTERCEPT(C9:C108,B9:B108)</f>
        <v>-3.0556322005081533</v>
      </c>
      <c r="H10" s="55" t="s">
        <v>154</v>
      </c>
      <c r="J10" s="56"/>
    </row>
    <row r="11" spans="2:10" x14ac:dyDescent="0.45">
      <c r="B11" s="44">
        <v>4720</v>
      </c>
      <c r="C11" s="52">
        <v>7</v>
      </c>
      <c r="D11" s="1"/>
      <c r="F11" s="47" t="s">
        <v>155</v>
      </c>
      <c r="G11" s="54">
        <f>SLOPE(C9:C108,B9:B108)</f>
        <v>2.0593209714449149E-3</v>
      </c>
      <c r="H11" s="57" t="s">
        <v>156</v>
      </c>
    </row>
    <row r="12" spans="2:10" ht="15.75" x14ac:dyDescent="0.45">
      <c r="B12" s="44">
        <v>3210</v>
      </c>
      <c r="C12" s="52">
        <v>4</v>
      </c>
      <c r="D12" s="1"/>
      <c r="F12" s="47" t="s">
        <v>157</v>
      </c>
      <c r="G12" s="54">
        <f>RSQ(C9:C108,B9:B108)</f>
        <v>0.96159344469485097</v>
      </c>
      <c r="H12" s="58"/>
    </row>
    <row r="13" spans="2:10" x14ac:dyDescent="0.45">
      <c r="B13" s="44">
        <v>4560</v>
      </c>
      <c r="C13" s="52">
        <v>7</v>
      </c>
      <c r="D13" s="1"/>
      <c r="G13" s="59"/>
      <c r="I13" s="60"/>
    </row>
    <row r="14" spans="2:10" x14ac:dyDescent="0.45">
      <c r="B14" s="44">
        <v>4080</v>
      </c>
      <c r="C14" s="52">
        <v>5</v>
      </c>
      <c r="D14" s="1"/>
      <c r="E14" s="53" t="s">
        <v>158</v>
      </c>
      <c r="F14" s="37" t="s">
        <v>159</v>
      </c>
      <c r="G14" s="59"/>
    </row>
    <row r="15" spans="2:10" x14ac:dyDescent="0.45">
      <c r="B15" s="44">
        <v>5030</v>
      </c>
      <c r="C15" s="52">
        <v>8</v>
      </c>
      <c r="F15" s="37" t="s">
        <v>160</v>
      </c>
      <c r="G15" s="59"/>
    </row>
    <row r="16" spans="2:10" x14ac:dyDescent="0.45">
      <c r="B16" s="44">
        <v>3910</v>
      </c>
      <c r="C16" s="52">
        <v>5</v>
      </c>
      <c r="F16" s="61" t="s">
        <v>149</v>
      </c>
      <c r="G16" s="62" t="s">
        <v>161</v>
      </c>
    </row>
    <row r="17" spans="2:8" x14ac:dyDescent="0.45">
      <c r="B17" s="44">
        <v>2880</v>
      </c>
      <c r="C17" s="52">
        <v>3</v>
      </c>
      <c r="F17" s="63">
        <v>2121</v>
      </c>
      <c r="G17" s="64">
        <f>($G$11*F17)+$G$10</f>
        <v>1.312187579926511</v>
      </c>
      <c r="H17" s="57" t="s">
        <v>168</v>
      </c>
    </row>
    <row r="18" spans="2:8" x14ac:dyDescent="0.45">
      <c r="B18" s="44">
        <v>5240</v>
      </c>
      <c r="C18" s="52">
        <v>8</v>
      </c>
      <c r="F18" s="63">
        <v>4834</v>
      </c>
      <c r="G18" s="64">
        <f>($G$11*F18)+$G$10</f>
        <v>6.8991253754565651</v>
      </c>
      <c r="H18" s="57"/>
    </row>
    <row r="19" spans="2:8" x14ac:dyDescent="0.45">
      <c r="B19" s="44">
        <v>4330</v>
      </c>
      <c r="C19" s="52">
        <v>6</v>
      </c>
      <c r="F19" s="63">
        <v>3897</v>
      </c>
      <c r="G19" s="64">
        <f t="shared" ref="G19:G20" si="0">($G$11*F19)+$G$10</f>
        <v>4.9695416252126794</v>
      </c>
    </row>
    <row r="20" spans="2:8" x14ac:dyDescent="0.45">
      <c r="B20" s="44">
        <v>3300</v>
      </c>
      <c r="C20" s="52">
        <v>4</v>
      </c>
      <c r="F20" s="63">
        <v>5902</v>
      </c>
      <c r="G20" s="64">
        <f t="shared" si="0"/>
        <v>9.098480172959734</v>
      </c>
    </row>
    <row r="21" spans="2:8" x14ac:dyDescent="0.45">
      <c r="B21" s="44">
        <v>4940</v>
      </c>
      <c r="C21" s="52">
        <v>8</v>
      </c>
      <c r="G21" s="59"/>
    </row>
    <row r="22" spans="2:8" x14ac:dyDescent="0.45">
      <c r="B22" s="44">
        <v>4150</v>
      </c>
      <c r="C22" s="52">
        <v>6</v>
      </c>
      <c r="E22" s="53" t="s">
        <v>131</v>
      </c>
      <c r="F22" t="s">
        <v>162</v>
      </c>
      <c r="G22" s="59"/>
    </row>
    <row r="23" spans="2:8" x14ac:dyDescent="0.45">
      <c r="B23" s="44">
        <v>2460</v>
      </c>
      <c r="C23" s="52">
        <v>2</v>
      </c>
      <c r="F23" t="s">
        <v>163</v>
      </c>
      <c r="G23" s="59"/>
    </row>
    <row r="24" spans="2:8" x14ac:dyDescent="0.45">
      <c r="B24" s="44">
        <v>4250</v>
      </c>
      <c r="C24" s="52">
        <v>6</v>
      </c>
      <c r="F24" s="61" t="s">
        <v>149</v>
      </c>
      <c r="G24" s="62" t="s">
        <v>161</v>
      </c>
    </row>
    <row r="25" spans="2:8" x14ac:dyDescent="0.45">
      <c r="B25" s="44">
        <v>4605</v>
      </c>
      <c r="C25" s="52">
        <v>7</v>
      </c>
      <c r="F25" s="63">
        <v>2121</v>
      </c>
      <c r="G25" s="64" cm="1">
        <f t="array" ref="G25">TREND($C$9:$C$108,$B$9:$B$108,F25,$G$10)</f>
        <v>1.312187579926511</v>
      </c>
      <c r="H25" s="57"/>
    </row>
    <row r="26" spans="2:8" x14ac:dyDescent="0.45">
      <c r="B26" s="44">
        <v>3104</v>
      </c>
      <c r="C26" s="52">
        <v>4</v>
      </c>
      <c r="F26" s="63">
        <v>4834</v>
      </c>
      <c r="G26" s="64" cm="1">
        <f t="array" ref="G26">TREND($C$9:$C$108,$B$9:$B$108,F26,$G$10)</f>
        <v>6.8991253754565651</v>
      </c>
    </row>
    <row r="27" spans="2:8" x14ac:dyDescent="0.45">
      <c r="B27" s="44">
        <v>5503</v>
      </c>
      <c r="C27" s="52">
        <v>9</v>
      </c>
      <c r="F27" s="63">
        <v>3897</v>
      </c>
      <c r="G27" s="64" cm="1">
        <f t="array" ref="G27">TREND($C$9:$C$108,$B$9:$B$108,F27,$G$10)</f>
        <v>4.9695416252126794</v>
      </c>
    </row>
    <row r="28" spans="2:8" x14ac:dyDescent="0.45">
      <c r="B28" s="44">
        <v>4320</v>
      </c>
      <c r="C28" s="52">
        <v>5</v>
      </c>
      <c r="F28" s="63">
        <v>5902</v>
      </c>
      <c r="G28" s="64" cm="1">
        <f t="array" ref="G28">TREND($C$9:$C$108,$B$9:$B$108,F28,$G$10)</f>
        <v>9.098480172959734</v>
      </c>
    </row>
    <row r="29" spans="2:8" x14ac:dyDescent="0.45">
      <c r="B29" s="44">
        <v>4390</v>
      </c>
      <c r="C29" s="52">
        <v>5</v>
      </c>
    </row>
    <row r="30" spans="2:8" x14ac:dyDescent="0.45">
      <c r="B30" s="44">
        <v>5430</v>
      </c>
      <c r="C30" s="52">
        <v>8</v>
      </c>
      <c r="E30" s="53" t="s">
        <v>135</v>
      </c>
      <c r="F30" t="s">
        <v>164</v>
      </c>
    </row>
    <row r="31" spans="2:8" x14ac:dyDescent="0.45">
      <c r="B31" s="44">
        <v>2980</v>
      </c>
      <c r="C31" s="52">
        <v>3</v>
      </c>
      <c r="F31" t="s">
        <v>165</v>
      </c>
      <c r="H31" s="57"/>
    </row>
    <row r="32" spans="2:8" x14ac:dyDescent="0.45">
      <c r="B32" s="44">
        <v>5110</v>
      </c>
      <c r="C32" s="52">
        <v>8</v>
      </c>
      <c r="F32" s="47" t="s">
        <v>166</v>
      </c>
      <c r="G32" s="65">
        <f>COVAR(C9:C108,B9:B108)</f>
        <v>1693.8963999999999</v>
      </c>
      <c r="H32" s="57"/>
    </row>
    <row r="33" spans="2:9" x14ac:dyDescent="0.45">
      <c r="B33" s="44">
        <v>3850</v>
      </c>
      <c r="C33" s="52">
        <v>5</v>
      </c>
      <c r="F33" s="47" t="s">
        <v>167</v>
      </c>
      <c r="G33" s="65">
        <f>CORREL(C9:C108,B9:B108)</f>
        <v>0.98060871130887417</v>
      </c>
    </row>
    <row r="34" spans="2:9" x14ac:dyDescent="0.45">
      <c r="B34" s="44">
        <v>4460</v>
      </c>
      <c r="C34" s="52">
        <v>6</v>
      </c>
      <c r="E34" s="53"/>
    </row>
    <row r="35" spans="2:9" x14ac:dyDescent="0.45">
      <c r="B35" s="44">
        <v>4870</v>
      </c>
      <c r="C35" s="52">
        <v>7</v>
      </c>
    </row>
    <row r="36" spans="2:9" x14ac:dyDescent="0.45">
      <c r="B36" s="44">
        <v>2760</v>
      </c>
      <c r="C36" s="52">
        <v>3</v>
      </c>
      <c r="F36" s="66"/>
      <c r="G36" s="66"/>
      <c r="H36" s="1"/>
      <c r="I36" s="1"/>
    </row>
    <row r="37" spans="2:9" x14ac:dyDescent="0.45">
      <c r="B37" s="44">
        <v>4520</v>
      </c>
      <c r="C37" s="52">
        <v>7</v>
      </c>
      <c r="F37" s="66"/>
      <c r="G37" s="66"/>
      <c r="H37" s="1"/>
      <c r="I37" s="1"/>
    </row>
    <row r="38" spans="2:9" x14ac:dyDescent="0.45">
      <c r="B38" s="44">
        <v>3680</v>
      </c>
      <c r="C38" s="52">
        <v>5</v>
      </c>
      <c r="F38" s="66"/>
      <c r="G38" s="66"/>
      <c r="H38" s="1"/>
      <c r="I38" s="1"/>
    </row>
    <row r="39" spans="2:9" x14ac:dyDescent="0.45">
      <c r="B39" s="44">
        <v>4730</v>
      </c>
      <c r="C39" s="52">
        <v>7</v>
      </c>
      <c r="F39" s="66"/>
      <c r="G39" s="66"/>
      <c r="H39" s="1"/>
      <c r="I39" s="1"/>
    </row>
    <row r="40" spans="2:9" x14ac:dyDescent="0.45">
      <c r="B40" s="44">
        <v>5880</v>
      </c>
      <c r="C40" s="52">
        <v>9</v>
      </c>
      <c r="F40" s="66"/>
      <c r="G40" s="66"/>
      <c r="H40" s="1"/>
      <c r="I40" s="1"/>
    </row>
    <row r="41" spans="2:9" x14ac:dyDescent="0.45">
      <c r="B41" s="44">
        <v>3990</v>
      </c>
      <c r="C41" s="52">
        <v>5</v>
      </c>
    </row>
    <row r="42" spans="2:9" x14ac:dyDescent="0.45">
      <c r="B42" s="44">
        <v>5320</v>
      </c>
      <c r="C42" s="52">
        <v>8</v>
      </c>
    </row>
    <row r="43" spans="2:9" x14ac:dyDescent="0.45">
      <c r="B43" s="44">
        <v>4320</v>
      </c>
      <c r="C43" s="52">
        <v>6</v>
      </c>
    </row>
    <row r="44" spans="2:9" x14ac:dyDescent="0.45">
      <c r="B44" s="44">
        <v>5280</v>
      </c>
      <c r="C44" s="52">
        <v>8</v>
      </c>
    </row>
    <row r="45" spans="2:9" x14ac:dyDescent="0.45">
      <c r="B45" s="44">
        <v>2530</v>
      </c>
      <c r="C45" s="52">
        <v>2</v>
      </c>
    </row>
    <row r="46" spans="2:9" x14ac:dyDescent="0.45">
      <c r="B46" s="44">
        <v>5390</v>
      </c>
      <c r="C46" s="52">
        <v>8</v>
      </c>
    </row>
    <row r="47" spans="2:9" x14ac:dyDescent="0.45">
      <c r="B47" s="44">
        <v>3287</v>
      </c>
      <c r="C47" s="52">
        <v>4</v>
      </c>
    </row>
    <row r="48" spans="2:9" x14ac:dyDescent="0.45">
      <c r="B48" s="44">
        <v>4655</v>
      </c>
      <c r="C48" s="52">
        <v>7</v>
      </c>
    </row>
    <row r="49" spans="2:3" x14ac:dyDescent="0.45">
      <c r="B49" s="44">
        <v>4109</v>
      </c>
      <c r="C49" s="52">
        <v>6</v>
      </c>
    </row>
    <row r="50" spans="2:3" x14ac:dyDescent="0.45">
      <c r="B50" s="44">
        <v>4877</v>
      </c>
      <c r="C50" s="52">
        <v>7</v>
      </c>
    </row>
    <row r="51" spans="2:3" x14ac:dyDescent="0.45">
      <c r="B51" s="44">
        <v>3879</v>
      </c>
      <c r="C51" s="52">
        <v>5</v>
      </c>
    </row>
    <row r="52" spans="2:3" x14ac:dyDescent="0.45">
      <c r="B52" s="44">
        <v>5454</v>
      </c>
      <c r="C52" s="52">
        <v>8</v>
      </c>
    </row>
    <row r="53" spans="2:3" x14ac:dyDescent="0.45">
      <c r="B53" s="44">
        <v>2110</v>
      </c>
      <c r="C53" s="52">
        <v>1</v>
      </c>
    </row>
    <row r="54" spans="2:3" x14ac:dyDescent="0.45">
      <c r="B54" s="44">
        <v>4003</v>
      </c>
      <c r="C54" s="52">
        <v>5</v>
      </c>
    </row>
    <row r="55" spans="2:3" x14ac:dyDescent="0.45">
      <c r="B55" s="44">
        <v>4488</v>
      </c>
      <c r="C55" s="52">
        <v>6</v>
      </c>
    </row>
    <row r="56" spans="2:3" x14ac:dyDescent="0.45">
      <c r="B56" s="44">
        <v>5555</v>
      </c>
      <c r="C56" s="52">
        <v>8</v>
      </c>
    </row>
    <row r="57" spans="2:3" x14ac:dyDescent="0.45">
      <c r="B57" s="44">
        <v>4888</v>
      </c>
      <c r="C57" s="52">
        <v>7</v>
      </c>
    </row>
    <row r="58" spans="2:3" x14ac:dyDescent="0.45">
      <c r="B58" s="44">
        <v>2999</v>
      </c>
      <c r="C58" s="52">
        <v>3</v>
      </c>
    </row>
    <row r="59" spans="2:3" x14ac:dyDescent="0.45">
      <c r="B59" s="44">
        <v>4222</v>
      </c>
      <c r="C59" s="52">
        <v>6</v>
      </c>
    </row>
    <row r="60" spans="2:3" x14ac:dyDescent="0.45">
      <c r="B60" s="44">
        <v>3001</v>
      </c>
      <c r="C60" s="52">
        <v>3</v>
      </c>
    </row>
    <row r="61" spans="2:3" x14ac:dyDescent="0.45">
      <c r="B61" s="44">
        <v>6000</v>
      </c>
      <c r="C61" s="52">
        <v>9</v>
      </c>
    </row>
    <row r="62" spans="2:3" x14ac:dyDescent="0.45">
      <c r="B62" s="44">
        <v>5100</v>
      </c>
      <c r="C62" s="52">
        <v>7</v>
      </c>
    </row>
    <row r="63" spans="2:3" x14ac:dyDescent="0.45">
      <c r="B63" s="44">
        <v>3333</v>
      </c>
      <c r="C63" s="52">
        <v>4</v>
      </c>
    </row>
    <row r="64" spans="2:3" x14ac:dyDescent="0.45">
      <c r="B64" s="44">
        <v>4789</v>
      </c>
      <c r="C64" s="52">
        <v>7</v>
      </c>
    </row>
    <row r="65" spans="2:3" x14ac:dyDescent="0.45">
      <c r="B65" s="44">
        <v>4080</v>
      </c>
      <c r="C65" s="52">
        <v>6</v>
      </c>
    </row>
    <row r="66" spans="2:3" x14ac:dyDescent="0.45">
      <c r="B66" s="44">
        <v>3543</v>
      </c>
      <c r="C66" s="52">
        <v>4</v>
      </c>
    </row>
    <row r="67" spans="2:3" x14ac:dyDescent="0.45">
      <c r="B67" s="44">
        <v>4876</v>
      </c>
      <c r="C67" s="52">
        <v>7</v>
      </c>
    </row>
    <row r="68" spans="2:3" x14ac:dyDescent="0.45">
      <c r="B68" s="44">
        <v>4290</v>
      </c>
      <c r="C68" s="52">
        <v>6</v>
      </c>
    </row>
    <row r="69" spans="2:3" x14ac:dyDescent="0.45">
      <c r="B69" s="44">
        <v>4010</v>
      </c>
      <c r="C69" s="52">
        <v>5</v>
      </c>
    </row>
    <row r="70" spans="2:3" x14ac:dyDescent="0.45">
      <c r="B70" s="44">
        <v>5999</v>
      </c>
      <c r="C70" s="52">
        <v>9</v>
      </c>
    </row>
    <row r="71" spans="2:3" x14ac:dyDescent="0.45">
      <c r="B71" s="44">
        <v>4109</v>
      </c>
      <c r="C71" s="52">
        <v>5</v>
      </c>
    </row>
    <row r="72" spans="2:3" x14ac:dyDescent="0.45">
      <c r="B72" s="44">
        <v>6500</v>
      </c>
      <c r="C72" s="52">
        <v>10</v>
      </c>
    </row>
    <row r="73" spans="2:3" x14ac:dyDescent="0.45">
      <c r="B73" s="44">
        <v>3989</v>
      </c>
      <c r="C73" s="52">
        <v>5</v>
      </c>
    </row>
    <row r="74" spans="2:3" x14ac:dyDescent="0.45">
      <c r="B74" s="44">
        <v>4890</v>
      </c>
      <c r="C74" s="52">
        <v>7</v>
      </c>
    </row>
    <row r="75" spans="2:3" x14ac:dyDescent="0.45">
      <c r="B75" s="44">
        <v>4320</v>
      </c>
      <c r="C75" s="52">
        <v>6</v>
      </c>
    </row>
    <row r="76" spans="2:3" x14ac:dyDescent="0.45">
      <c r="B76" s="44">
        <v>5656</v>
      </c>
      <c r="C76" s="52">
        <v>8</v>
      </c>
    </row>
    <row r="77" spans="2:3" x14ac:dyDescent="0.45">
      <c r="B77" s="44">
        <v>3210</v>
      </c>
      <c r="C77" s="52">
        <v>3</v>
      </c>
    </row>
    <row r="78" spans="2:3" x14ac:dyDescent="0.45">
      <c r="B78" s="44">
        <v>4777</v>
      </c>
      <c r="C78" s="52">
        <v>7</v>
      </c>
    </row>
    <row r="79" spans="2:3" x14ac:dyDescent="0.45">
      <c r="B79" s="44">
        <v>4666</v>
      </c>
      <c r="C79" s="52">
        <v>7</v>
      </c>
    </row>
    <row r="80" spans="2:3" x14ac:dyDescent="0.45">
      <c r="B80" s="44">
        <v>4333</v>
      </c>
      <c r="C80" s="52">
        <v>6</v>
      </c>
    </row>
    <row r="81" spans="2:3" x14ac:dyDescent="0.45">
      <c r="B81" s="44">
        <v>4888</v>
      </c>
      <c r="C81" s="52">
        <v>7</v>
      </c>
    </row>
    <row r="82" spans="2:3" x14ac:dyDescent="0.45">
      <c r="B82" s="44">
        <v>2525</v>
      </c>
      <c r="C82" s="52">
        <v>2</v>
      </c>
    </row>
    <row r="83" spans="2:3" x14ac:dyDescent="0.45">
      <c r="B83" s="44">
        <v>5566</v>
      </c>
      <c r="C83" s="52">
        <v>8</v>
      </c>
    </row>
    <row r="84" spans="2:3" x14ac:dyDescent="0.45">
      <c r="B84" s="44">
        <v>3434</v>
      </c>
      <c r="C84" s="52">
        <v>4</v>
      </c>
    </row>
    <row r="85" spans="2:3" x14ac:dyDescent="0.45">
      <c r="B85" s="44">
        <v>4121</v>
      </c>
      <c r="C85" s="52">
        <v>5</v>
      </c>
    </row>
    <row r="86" spans="2:3" x14ac:dyDescent="0.45">
      <c r="B86" s="44">
        <v>4567</v>
      </c>
      <c r="C86" s="52">
        <v>6</v>
      </c>
    </row>
    <row r="87" spans="2:3" x14ac:dyDescent="0.45">
      <c r="B87" s="44">
        <v>4111</v>
      </c>
      <c r="C87" s="52">
        <v>5</v>
      </c>
    </row>
    <row r="88" spans="2:3" x14ac:dyDescent="0.45">
      <c r="B88" s="44">
        <v>4444</v>
      </c>
      <c r="C88" s="52">
        <v>6</v>
      </c>
    </row>
    <row r="89" spans="2:3" x14ac:dyDescent="0.45">
      <c r="B89" s="44">
        <v>4889</v>
      </c>
      <c r="C89" s="52">
        <v>7</v>
      </c>
    </row>
    <row r="90" spans="2:3" x14ac:dyDescent="0.45">
      <c r="B90" s="44">
        <v>3899</v>
      </c>
      <c r="C90" s="52">
        <v>5</v>
      </c>
    </row>
    <row r="91" spans="2:3" x14ac:dyDescent="0.45">
      <c r="B91" s="44">
        <v>3535</v>
      </c>
      <c r="C91" s="52">
        <v>4</v>
      </c>
    </row>
    <row r="92" spans="2:3" x14ac:dyDescent="0.45">
      <c r="B92" s="44">
        <v>4882</v>
      </c>
      <c r="C92" s="52">
        <v>7</v>
      </c>
    </row>
    <row r="93" spans="2:3" x14ac:dyDescent="0.45">
      <c r="B93" s="44">
        <v>3535</v>
      </c>
      <c r="C93" s="52">
        <v>4</v>
      </c>
    </row>
    <row r="94" spans="2:3" x14ac:dyDescent="0.45">
      <c r="B94" s="44">
        <v>4789</v>
      </c>
      <c r="C94" s="52">
        <v>6</v>
      </c>
    </row>
    <row r="95" spans="2:3" x14ac:dyDescent="0.45">
      <c r="B95" s="44">
        <v>5333</v>
      </c>
      <c r="C95" s="52">
        <v>8</v>
      </c>
    </row>
    <row r="96" spans="2:3" x14ac:dyDescent="0.45">
      <c r="B96" s="44">
        <v>2679</v>
      </c>
      <c r="C96" s="52">
        <v>2</v>
      </c>
    </row>
    <row r="97" spans="2:3" x14ac:dyDescent="0.45">
      <c r="B97" s="44">
        <v>4999</v>
      </c>
      <c r="C97" s="52">
        <v>7</v>
      </c>
    </row>
    <row r="98" spans="2:3" x14ac:dyDescent="0.45">
      <c r="B98" s="44">
        <v>4654</v>
      </c>
      <c r="C98" s="52">
        <v>6</v>
      </c>
    </row>
    <row r="99" spans="2:3" x14ac:dyDescent="0.45">
      <c r="B99" s="44">
        <v>4676</v>
      </c>
      <c r="C99" s="52">
        <v>7</v>
      </c>
    </row>
    <row r="100" spans="2:3" x14ac:dyDescent="0.45">
      <c r="B100" s="44">
        <v>3209</v>
      </c>
      <c r="C100" s="52">
        <v>3</v>
      </c>
    </row>
    <row r="101" spans="2:3" x14ac:dyDescent="0.45">
      <c r="B101" s="44">
        <v>4895</v>
      </c>
      <c r="C101" s="52">
        <v>7</v>
      </c>
    </row>
    <row r="102" spans="2:3" x14ac:dyDescent="0.45">
      <c r="B102" s="44">
        <v>4563</v>
      </c>
      <c r="C102" s="52">
        <v>6</v>
      </c>
    </row>
    <row r="103" spans="2:3" x14ac:dyDescent="0.45">
      <c r="B103" s="44">
        <v>4444</v>
      </c>
      <c r="C103" s="52">
        <v>6</v>
      </c>
    </row>
    <row r="104" spans="2:3" x14ac:dyDescent="0.45">
      <c r="B104" s="44">
        <v>5453</v>
      </c>
      <c r="C104" s="52">
        <v>8</v>
      </c>
    </row>
    <row r="105" spans="2:3" x14ac:dyDescent="0.45">
      <c r="B105" s="44">
        <v>3645</v>
      </c>
      <c r="C105" s="52">
        <v>4</v>
      </c>
    </row>
    <row r="106" spans="2:3" x14ac:dyDescent="0.45">
      <c r="B106" s="44">
        <v>4862</v>
      </c>
      <c r="C106" s="52">
        <v>7</v>
      </c>
    </row>
    <row r="107" spans="2:3" x14ac:dyDescent="0.45">
      <c r="B107" s="44">
        <v>4538</v>
      </c>
      <c r="C107" s="52">
        <v>6</v>
      </c>
    </row>
    <row r="108" spans="2:3" x14ac:dyDescent="0.45">
      <c r="B108" s="44">
        <v>3689</v>
      </c>
      <c r="C108" s="52">
        <v>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C2B0-9B53-4464-8826-3E3285844FCD}">
  <dimension ref="B1:T40"/>
  <sheetViews>
    <sheetView topLeftCell="A19" workbookViewId="0">
      <selection activeCell="E40" sqref="E40"/>
    </sheetView>
  </sheetViews>
  <sheetFormatPr defaultColWidth="8.86328125" defaultRowHeight="14.25" x14ac:dyDescent="0.45"/>
  <cols>
    <col min="1" max="1" width="2.86328125" customWidth="1"/>
    <col min="2" max="2" width="5.1328125" style="1" customWidth="1"/>
    <col min="3" max="3" width="16" customWidth="1"/>
    <col min="4" max="4" width="16" style="1" customWidth="1"/>
    <col min="5" max="8" width="8.1328125" style="1" bestFit="1" customWidth="1"/>
    <col min="10" max="14" width="10.265625" customWidth="1"/>
    <col min="15" max="15" width="4.86328125" customWidth="1"/>
    <col min="16" max="20" width="11.265625" customWidth="1"/>
  </cols>
  <sheetData>
    <row r="1" spans="2:16" x14ac:dyDescent="0.45">
      <c r="B1" s="36" t="s">
        <v>79</v>
      </c>
    </row>
    <row r="2" spans="2:16" x14ac:dyDescent="0.45">
      <c r="B2" s="37"/>
    </row>
    <row r="3" spans="2:16" x14ac:dyDescent="0.45">
      <c r="B3" s="37" t="s">
        <v>80</v>
      </c>
      <c r="D3"/>
      <c r="I3" s="1"/>
    </row>
    <row r="4" spans="2:16" x14ac:dyDescent="0.45">
      <c r="B4" s="37" t="s">
        <v>81</v>
      </c>
      <c r="D4"/>
      <c r="I4" s="1"/>
    </row>
    <row r="5" spans="2:16" x14ac:dyDescent="0.45">
      <c r="B5" s="37" t="s">
        <v>82</v>
      </c>
      <c r="D5"/>
      <c r="I5" s="1"/>
    </row>
    <row r="6" spans="2:16" x14ac:dyDescent="0.45">
      <c r="B6" s="37" t="s">
        <v>83</v>
      </c>
      <c r="D6"/>
      <c r="I6" s="1"/>
    </row>
    <row r="7" spans="2:16" x14ac:dyDescent="0.45">
      <c r="D7"/>
      <c r="I7" s="1"/>
    </row>
    <row r="8" spans="2:16" x14ac:dyDescent="0.45">
      <c r="B8" s="37" t="s">
        <v>84</v>
      </c>
      <c r="D8"/>
      <c r="I8" s="1"/>
    </row>
    <row r="9" spans="2:16" x14ac:dyDescent="0.45">
      <c r="B9" s="37" t="s">
        <v>85</v>
      </c>
      <c r="D9"/>
      <c r="I9" s="1"/>
    </row>
    <row r="10" spans="2:16" x14ac:dyDescent="0.45">
      <c r="B10" s="37" t="s">
        <v>86</v>
      </c>
      <c r="D10"/>
      <c r="I10" s="1"/>
    </row>
    <row r="11" spans="2:16" x14ac:dyDescent="0.45">
      <c r="B11" s="37" t="s">
        <v>87</v>
      </c>
      <c r="D11"/>
      <c r="I11" s="1"/>
    </row>
    <row r="12" spans="2:16" x14ac:dyDescent="0.45">
      <c r="B12" s="37" t="s">
        <v>88</v>
      </c>
      <c r="D12"/>
      <c r="I12" s="1"/>
    </row>
    <row r="13" spans="2:16" x14ac:dyDescent="0.45">
      <c r="B13" s="37"/>
      <c r="D13"/>
      <c r="I13" s="1"/>
    </row>
    <row r="14" spans="2:16" x14ac:dyDescent="0.45">
      <c r="B14" s="37" t="s">
        <v>89</v>
      </c>
      <c r="D14"/>
      <c r="I14" s="1"/>
      <c r="M14" t="s">
        <v>90</v>
      </c>
    </row>
    <row r="15" spans="2:16" x14ac:dyDescent="0.45">
      <c r="B15" s="37" t="s">
        <v>91</v>
      </c>
      <c r="D15"/>
      <c r="I15" s="1"/>
      <c r="M15" t="s">
        <v>92</v>
      </c>
    </row>
    <row r="16" spans="2:16" x14ac:dyDescent="0.45">
      <c r="B16" s="37" t="s">
        <v>93</v>
      </c>
      <c r="D16"/>
      <c r="I16" s="1"/>
      <c r="M16" t="s">
        <v>94</v>
      </c>
      <c r="P16" t="s">
        <v>95</v>
      </c>
    </row>
    <row r="17" spans="2:20" x14ac:dyDescent="0.45">
      <c r="B17" s="37" t="s">
        <v>96</v>
      </c>
      <c r="D17"/>
      <c r="I17" s="1"/>
      <c r="M17" t="s">
        <v>97</v>
      </c>
      <c r="P17" t="s">
        <v>98</v>
      </c>
    </row>
    <row r="18" spans="2:20" x14ac:dyDescent="0.45">
      <c r="B18" s="37" t="s">
        <v>88</v>
      </c>
      <c r="D18"/>
      <c r="I18" s="1"/>
    </row>
    <row r="19" spans="2:20" x14ac:dyDescent="0.45">
      <c r="B19"/>
    </row>
    <row r="20" spans="2:20" x14ac:dyDescent="0.45">
      <c r="B20"/>
      <c r="C20" t="s">
        <v>99</v>
      </c>
      <c r="D20" s="38">
        <v>2000</v>
      </c>
      <c r="J20" s="36" t="s">
        <v>100</v>
      </c>
      <c r="K20" s="36"/>
      <c r="L20" s="36"/>
      <c r="M20" s="36"/>
      <c r="N20" s="36"/>
      <c r="P20" s="36" t="s">
        <v>101</v>
      </c>
    </row>
    <row r="21" spans="2:20" x14ac:dyDescent="0.45">
      <c r="B21"/>
      <c r="C21" s="1" t="s">
        <v>102</v>
      </c>
      <c r="D21" s="39">
        <v>26</v>
      </c>
    </row>
    <row r="22" spans="2:20" x14ac:dyDescent="0.45">
      <c r="B22"/>
      <c r="J22" t="s">
        <v>103</v>
      </c>
      <c r="P22" t="s">
        <v>104</v>
      </c>
    </row>
    <row r="23" spans="2:20" ht="15" customHeight="1" x14ac:dyDescent="0.45">
      <c r="E23" s="80" t="s">
        <v>79</v>
      </c>
      <c r="F23" s="81"/>
      <c r="G23" s="81"/>
      <c r="H23" s="82"/>
      <c r="K23" s="80" t="s">
        <v>79</v>
      </c>
      <c r="L23" s="81"/>
      <c r="M23" s="81"/>
      <c r="N23" s="82"/>
      <c r="Q23" s="80" t="s">
        <v>79</v>
      </c>
      <c r="R23" s="81"/>
      <c r="S23" s="81"/>
      <c r="T23" s="82"/>
    </row>
    <row r="24" spans="2:20" x14ac:dyDescent="0.45">
      <c r="B24" s="40" t="s">
        <v>105</v>
      </c>
      <c r="C24" s="41" t="s">
        <v>0</v>
      </c>
      <c r="D24" s="40" t="s">
        <v>106</v>
      </c>
      <c r="E24" s="40" t="s">
        <v>107</v>
      </c>
      <c r="F24" s="40" t="s">
        <v>108</v>
      </c>
      <c r="G24" s="40" t="s">
        <v>109</v>
      </c>
      <c r="H24" s="40" t="s">
        <v>110</v>
      </c>
      <c r="J24" s="40" t="s">
        <v>111</v>
      </c>
      <c r="K24" s="40" t="s">
        <v>107</v>
      </c>
      <c r="L24" s="40" t="s">
        <v>108</v>
      </c>
      <c r="M24" s="40" t="s">
        <v>109</v>
      </c>
      <c r="N24" s="40" t="s">
        <v>110</v>
      </c>
      <c r="P24" s="40" t="s">
        <v>111</v>
      </c>
      <c r="Q24" s="40" t="s">
        <v>107</v>
      </c>
      <c r="R24" s="40" t="s">
        <v>108</v>
      </c>
      <c r="S24" s="40" t="s">
        <v>109</v>
      </c>
      <c r="T24" s="40" t="s">
        <v>110</v>
      </c>
    </row>
    <row r="25" spans="2:20" x14ac:dyDescent="0.45">
      <c r="B25" s="42">
        <v>1</v>
      </c>
      <c r="C25" s="43" t="s">
        <v>112</v>
      </c>
      <c r="D25" s="42">
        <v>30</v>
      </c>
      <c r="E25" s="44">
        <v>2510</v>
      </c>
      <c r="F25" s="44">
        <v>3210</v>
      </c>
      <c r="G25" s="44">
        <v>2960</v>
      </c>
      <c r="H25" s="44">
        <v>1040</v>
      </c>
      <c r="J25" s="45">
        <v>2000</v>
      </c>
      <c r="K25" s="46">
        <f>COUNTIF(E$25:E$34,"&lt;="&amp;$J25)</f>
        <v>3</v>
      </c>
      <c r="L25" s="46">
        <f t="shared" ref="L25:N27" si="0">COUNTIF(F$25:F$34,"&lt;="&amp;$J25)</f>
        <v>3</v>
      </c>
      <c r="M25" s="46">
        <f t="shared" si="0"/>
        <v>1</v>
      </c>
      <c r="N25" s="46">
        <f t="shared" si="0"/>
        <v>3</v>
      </c>
      <c r="P25" s="45">
        <v>2000</v>
      </c>
      <c r="Q25" s="46" cm="1">
        <f t="array" ref="Q25:Q28">FREQUENCY(E25:E34, $P25:$P28)</f>
        <v>3</v>
      </c>
      <c r="R25" s="46" cm="1">
        <f t="array" ref="R25:R28">FREQUENCY(F25:F34, $P25:$P28)</f>
        <v>3</v>
      </c>
      <c r="S25" s="46" cm="1">
        <f t="array" ref="S25:S28">FREQUENCY(G25:G34, $P25:$P28)</f>
        <v>1</v>
      </c>
      <c r="T25" s="46" cm="1">
        <f t="array" ref="T25:T28">FREQUENCY(H25:H34, $P25:$P28)</f>
        <v>3</v>
      </c>
    </row>
    <row r="26" spans="2:20" x14ac:dyDescent="0.45">
      <c r="B26" s="42">
        <v>2</v>
      </c>
      <c r="C26" s="43" t="s">
        <v>113</v>
      </c>
      <c r="D26" s="42">
        <v>45</v>
      </c>
      <c r="E26" s="44">
        <v>3620</v>
      </c>
      <c r="F26" s="44">
        <v>2950</v>
      </c>
      <c r="G26" s="44">
        <v>3010</v>
      </c>
      <c r="H26" s="44">
        <v>2970</v>
      </c>
      <c r="J26" s="45">
        <v>3000</v>
      </c>
      <c r="K26" s="46">
        <f t="shared" ref="K26:K27" si="1">COUNTIF(E$25:E$34,"&lt;="&amp;$J26)</f>
        <v>7</v>
      </c>
      <c r="L26" s="46">
        <f t="shared" si="0"/>
        <v>8</v>
      </c>
      <c r="M26" s="46">
        <f t="shared" si="0"/>
        <v>7</v>
      </c>
      <c r="N26" s="46">
        <f t="shared" si="0"/>
        <v>9</v>
      </c>
      <c r="P26" s="45">
        <v>3000</v>
      </c>
      <c r="Q26" s="46">
        <v>4</v>
      </c>
      <c r="R26" s="46">
        <v>5</v>
      </c>
      <c r="S26" s="46">
        <v>6</v>
      </c>
      <c r="T26" s="46">
        <v>6</v>
      </c>
    </row>
    <row r="27" spans="2:20" x14ac:dyDescent="0.45">
      <c r="B27" s="42">
        <v>3</v>
      </c>
      <c r="C27" s="43" t="s">
        <v>114</v>
      </c>
      <c r="D27" s="42">
        <v>23</v>
      </c>
      <c r="E27" s="44">
        <v>1800</v>
      </c>
      <c r="F27" s="44">
        <v>1990</v>
      </c>
      <c r="G27" s="44">
        <v>2370</v>
      </c>
      <c r="H27" s="44">
        <v>2660</v>
      </c>
      <c r="J27" s="45">
        <v>4000</v>
      </c>
      <c r="K27" s="46">
        <f t="shared" si="1"/>
        <v>10</v>
      </c>
      <c r="L27" s="46">
        <f t="shared" si="0"/>
        <v>10</v>
      </c>
      <c r="M27" s="46">
        <f t="shared" si="0"/>
        <v>10</v>
      </c>
      <c r="N27" s="46">
        <f t="shared" si="0"/>
        <v>10</v>
      </c>
      <c r="P27" s="45">
        <v>4000</v>
      </c>
      <c r="Q27" s="46">
        <v>3</v>
      </c>
      <c r="R27" s="46">
        <v>2</v>
      </c>
      <c r="S27" s="46">
        <v>3</v>
      </c>
      <c r="T27" s="46">
        <v>1</v>
      </c>
    </row>
    <row r="28" spans="2:20" x14ac:dyDescent="0.45">
      <c r="B28" s="42">
        <v>4</v>
      </c>
      <c r="C28" s="43" t="s">
        <v>115</v>
      </c>
      <c r="D28" s="42">
        <v>25</v>
      </c>
      <c r="E28" s="44">
        <v>1950</v>
      </c>
      <c r="F28" s="44">
        <v>2060</v>
      </c>
      <c r="G28" s="44">
        <v>2440</v>
      </c>
      <c r="H28" s="44">
        <v>2590</v>
      </c>
      <c r="K28" s="34" t="s">
        <v>116</v>
      </c>
      <c r="Q28">
        <v>0</v>
      </c>
      <c r="R28">
        <v>0</v>
      </c>
      <c r="S28">
        <v>0</v>
      </c>
      <c r="T28">
        <v>0</v>
      </c>
    </row>
    <row r="29" spans="2:20" x14ac:dyDescent="0.45">
      <c r="B29" s="42">
        <v>5</v>
      </c>
      <c r="C29" s="43" t="s">
        <v>117</v>
      </c>
      <c r="D29" s="42">
        <v>28</v>
      </c>
      <c r="E29" s="44">
        <v>2200</v>
      </c>
      <c r="F29" s="44">
        <v>2430</v>
      </c>
      <c r="G29" s="44">
        <v>2630</v>
      </c>
      <c r="H29" s="44">
        <v>2210</v>
      </c>
      <c r="Q29" s="34" t="s">
        <v>118</v>
      </c>
    </row>
    <row r="30" spans="2:20" x14ac:dyDescent="0.45">
      <c r="B30" s="42">
        <v>6</v>
      </c>
      <c r="C30" s="43" t="s">
        <v>119</v>
      </c>
      <c r="D30" s="42">
        <v>37</v>
      </c>
      <c r="E30" s="44">
        <v>3270</v>
      </c>
      <c r="F30" s="44">
        <v>3220</v>
      </c>
      <c r="G30" s="44">
        <v>3690</v>
      </c>
      <c r="H30" s="44">
        <v>3480</v>
      </c>
      <c r="J30" t="s">
        <v>120</v>
      </c>
      <c r="P30" t="s">
        <v>121</v>
      </c>
    </row>
    <row r="31" spans="2:20" x14ac:dyDescent="0.45">
      <c r="B31" s="42">
        <v>7</v>
      </c>
      <c r="C31" s="43" t="s">
        <v>122</v>
      </c>
      <c r="D31" s="42">
        <v>20</v>
      </c>
      <c r="E31" s="44">
        <v>1390</v>
      </c>
      <c r="F31" s="44">
        <v>1740</v>
      </c>
      <c r="G31" s="44">
        <v>1670</v>
      </c>
      <c r="H31" s="44">
        <v>1840</v>
      </c>
      <c r="K31" s="80" t="s">
        <v>79</v>
      </c>
      <c r="L31" s="81"/>
      <c r="M31" s="81"/>
      <c r="N31" s="82"/>
      <c r="Q31" s="80" t="s">
        <v>79</v>
      </c>
      <c r="R31" s="81"/>
      <c r="S31" s="81"/>
      <c r="T31" s="82"/>
    </row>
    <row r="32" spans="2:20" x14ac:dyDescent="0.45">
      <c r="B32" s="42">
        <v>8</v>
      </c>
      <c r="C32" s="43" t="s">
        <v>123</v>
      </c>
      <c r="D32" s="42">
        <v>21</v>
      </c>
      <c r="E32" s="44">
        <v>2730</v>
      </c>
      <c r="F32" s="44">
        <v>2850</v>
      </c>
      <c r="G32" s="44">
        <v>2610</v>
      </c>
      <c r="H32" s="44">
        <v>2790</v>
      </c>
      <c r="J32" s="40" t="s">
        <v>111</v>
      </c>
      <c r="K32" s="40" t="s">
        <v>107</v>
      </c>
      <c r="L32" s="40" t="s">
        <v>108</v>
      </c>
      <c r="M32" s="40" t="s">
        <v>109</v>
      </c>
      <c r="N32" s="40" t="s">
        <v>110</v>
      </c>
      <c r="P32" s="40" t="s">
        <v>111</v>
      </c>
      <c r="Q32" s="40" t="s">
        <v>107</v>
      </c>
      <c r="R32" s="40" t="s">
        <v>108</v>
      </c>
      <c r="S32" s="40" t="s">
        <v>109</v>
      </c>
      <c r="T32" s="40" t="s">
        <v>110</v>
      </c>
    </row>
    <row r="33" spans="2:20" x14ac:dyDescent="0.45">
      <c r="B33" s="42">
        <v>9</v>
      </c>
      <c r="C33" s="43" t="s">
        <v>124</v>
      </c>
      <c r="D33" s="42">
        <v>33</v>
      </c>
      <c r="E33" s="44">
        <v>3040</v>
      </c>
      <c r="F33" s="44">
        <v>1390</v>
      </c>
      <c r="G33" s="44">
        <v>3110</v>
      </c>
      <c r="H33" s="44">
        <v>1610</v>
      </c>
      <c r="J33" s="45">
        <v>2000</v>
      </c>
      <c r="K33" s="46">
        <f>FREQUENCY(E$25:E$34,$J33)</f>
        <v>3</v>
      </c>
      <c r="L33" s="46">
        <f t="shared" ref="L33:N35" si="2">FREQUENCY(F$25:F$34,$J33)</f>
        <v>3</v>
      </c>
      <c r="M33" s="46">
        <f t="shared" si="2"/>
        <v>1</v>
      </c>
      <c r="N33" s="46">
        <f t="shared" si="2"/>
        <v>3</v>
      </c>
      <c r="P33" s="45">
        <v>2000</v>
      </c>
      <c r="Q33" s="46" cm="1">
        <f t="array" ref="Q33:Q36">FREQUENCY(E25:E34,P33:P36)</f>
        <v>3</v>
      </c>
      <c r="R33" s="46"/>
      <c r="S33" s="46"/>
      <c r="T33" s="46"/>
    </row>
    <row r="34" spans="2:20" x14ac:dyDescent="0.45">
      <c r="B34" s="42">
        <v>10</v>
      </c>
      <c r="C34" s="43" t="s">
        <v>125</v>
      </c>
      <c r="D34" s="42">
        <v>32</v>
      </c>
      <c r="E34" s="44">
        <v>2830</v>
      </c>
      <c r="F34" s="44">
        <v>2550</v>
      </c>
      <c r="G34" s="44">
        <v>2770</v>
      </c>
      <c r="H34" s="44">
        <v>2390</v>
      </c>
      <c r="J34" s="45">
        <v>3000</v>
      </c>
      <c r="K34" s="46">
        <f t="shared" ref="K34:K35" si="3">FREQUENCY(E$25:E$34,$J34)</f>
        <v>7</v>
      </c>
      <c r="L34" s="46">
        <f t="shared" si="2"/>
        <v>8</v>
      </c>
      <c r="M34" s="46">
        <f t="shared" si="2"/>
        <v>7</v>
      </c>
      <c r="N34" s="46">
        <f t="shared" si="2"/>
        <v>9</v>
      </c>
      <c r="P34" s="45">
        <v>3000</v>
      </c>
      <c r="Q34" s="46">
        <v>4</v>
      </c>
      <c r="R34" s="46"/>
      <c r="S34" s="46"/>
      <c r="T34" s="46"/>
    </row>
    <row r="35" spans="2:20" x14ac:dyDescent="0.45">
      <c r="B35" s="37" t="s">
        <v>126</v>
      </c>
      <c r="C35" s="88" t="s">
        <v>127</v>
      </c>
      <c r="D35" s="88"/>
      <c r="E35" s="90">
        <f>COUNTIFS(E25:E34,"&gt;"&amp;$D$20,F25:F34,"&gt;"&amp;$D$20, G25:G34,"&gt;"&amp;$D$20)</f>
        <v>6</v>
      </c>
      <c r="F35" s="91"/>
      <c r="G35" s="91"/>
      <c r="H35" s="48"/>
      <c r="J35" s="45">
        <v>4000</v>
      </c>
      <c r="K35" s="46">
        <f t="shared" si="3"/>
        <v>10</v>
      </c>
      <c r="L35" s="46">
        <f t="shared" si="2"/>
        <v>10</v>
      </c>
      <c r="M35" s="46">
        <f t="shared" si="2"/>
        <v>10</v>
      </c>
      <c r="N35" s="46">
        <f t="shared" si="2"/>
        <v>10</v>
      </c>
      <c r="P35" s="45">
        <v>4000</v>
      </c>
      <c r="Q35" s="46">
        <v>3</v>
      </c>
      <c r="R35" s="46"/>
      <c r="S35" s="46"/>
      <c r="T35" s="46"/>
    </row>
    <row r="36" spans="2:20" x14ac:dyDescent="0.45">
      <c r="B36" s="37" t="s">
        <v>128</v>
      </c>
      <c r="C36" s="88" t="s">
        <v>129</v>
      </c>
      <c r="D36" s="88"/>
      <c r="E36" s="48"/>
      <c r="F36" s="89">
        <f>COUNTIFS(F25:F34,"&gt;"&amp;$D$20, G25:G34,"&gt;"&amp;$D$20, H25:H34,"&gt;"&amp;$D$20)</f>
        <v>6</v>
      </c>
      <c r="G36" s="89"/>
      <c r="H36" s="89"/>
      <c r="K36" s="34" t="s">
        <v>130</v>
      </c>
      <c r="Q36">
        <v>0</v>
      </c>
    </row>
    <row r="37" spans="2:20" x14ac:dyDescent="0.45">
      <c r="B37" s="37" t="s">
        <v>131</v>
      </c>
      <c r="C37" s="88" t="s">
        <v>132</v>
      </c>
      <c r="D37" s="88"/>
      <c r="E37" s="49">
        <f>SUMIF($D$25:$D$34,"&lt;"&amp;$D$21, E25:E34)</f>
        <v>7870</v>
      </c>
      <c r="F37" s="49">
        <f t="shared" ref="F37:H37" si="4">SUMIF($D$25:$D$34,"&lt;"&amp;$D$21, F25:F34)</f>
        <v>8640</v>
      </c>
      <c r="G37" s="49">
        <f t="shared" si="4"/>
        <v>9090</v>
      </c>
      <c r="H37" s="49">
        <f t="shared" si="4"/>
        <v>9880</v>
      </c>
      <c r="I37" s="34" t="s">
        <v>133</v>
      </c>
      <c r="Q37" s="34" t="s">
        <v>134</v>
      </c>
    </row>
    <row r="38" spans="2:20" x14ac:dyDescent="0.45">
      <c r="B38" s="37" t="s">
        <v>135</v>
      </c>
      <c r="C38" s="88" t="s">
        <v>136</v>
      </c>
      <c r="D38" s="88"/>
      <c r="E38" s="49">
        <f>SUMIF($D$25:$D$34,"&gt;"&amp;$D$21, E25:E34)</f>
        <v>17470</v>
      </c>
      <c r="F38" s="49">
        <f t="shared" ref="F38:H38" si="5">SUMIF($D$25:$D$34,"&gt;"&amp;$D$21, F25:F34)</f>
        <v>15750</v>
      </c>
      <c r="G38" s="49">
        <f t="shared" si="5"/>
        <v>18170</v>
      </c>
      <c r="H38" s="49">
        <f t="shared" si="5"/>
        <v>13700</v>
      </c>
      <c r="I38" s="34" t="s">
        <v>137</v>
      </c>
    </row>
    <row r="39" spans="2:20" x14ac:dyDescent="0.45">
      <c r="B39" s="37" t="s">
        <v>138</v>
      </c>
      <c r="C39" s="88" t="s">
        <v>139</v>
      </c>
      <c r="D39" s="88"/>
      <c r="E39" s="49">
        <f>AVERAGEIF($D$25:$D$34,"&lt;"&amp;$D$21,E25:E34)</f>
        <v>1967.5</v>
      </c>
      <c r="F39" s="49">
        <f t="shared" ref="F39:H39" si="6">AVERAGEIF($D$25:$D$34,"&lt;"&amp;$D$21,F25:F34)</f>
        <v>2160</v>
      </c>
      <c r="G39" s="49">
        <f t="shared" si="6"/>
        <v>2272.5</v>
      </c>
      <c r="H39" s="49">
        <f t="shared" si="6"/>
        <v>2470</v>
      </c>
      <c r="I39" s="34" t="s">
        <v>140</v>
      </c>
    </row>
    <row r="40" spans="2:20" x14ac:dyDescent="0.45">
      <c r="B40" s="37" t="s">
        <v>141</v>
      </c>
      <c r="C40" s="88" t="s">
        <v>142</v>
      </c>
      <c r="D40" s="88"/>
      <c r="E40" s="49">
        <f>AVERAGEIF($D$25:$D$34,"&gt;"&amp;$D$21,E25:E34)</f>
        <v>2911.6666666666665</v>
      </c>
      <c r="F40" s="49">
        <f t="shared" ref="F40:H40" si="7">AVERAGEIF($D$25:$D$34,"&gt;"&amp;$D$21,F25:F34)</f>
        <v>2625</v>
      </c>
      <c r="G40" s="49">
        <f t="shared" si="7"/>
        <v>3028.3333333333335</v>
      </c>
      <c r="H40" s="49">
        <f t="shared" si="7"/>
        <v>2283.3333333333335</v>
      </c>
      <c r="I40" s="34" t="s">
        <v>143</v>
      </c>
    </row>
  </sheetData>
  <mergeCells count="13">
    <mergeCell ref="C40:D40"/>
    <mergeCell ref="E23:H23"/>
    <mergeCell ref="K23:N23"/>
    <mergeCell ref="Q23:T23"/>
    <mergeCell ref="K31:N31"/>
    <mergeCell ref="Q31:T31"/>
    <mergeCell ref="C35:D35"/>
    <mergeCell ref="E35:G35"/>
    <mergeCell ref="C36:D36"/>
    <mergeCell ref="F36:H36"/>
    <mergeCell ref="C37:D37"/>
    <mergeCell ref="C38:D38"/>
    <mergeCell ref="C39:D3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4D42-2B51-4D23-BD9C-C41309DE1844}">
  <dimension ref="B1:V61"/>
  <sheetViews>
    <sheetView topLeftCell="A18" workbookViewId="0">
      <selection activeCell="D37" sqref="D37"/>
    </sheetView>
  </sheetViews>
  <sheetFormatPr defaultColWidth="8.86328125" defaultRowHeight="14.25" x14ac:dyDescent="0.45"/>
  <cols>
    <col min="1" max="1" width="2.86328125" customWidth="1"/>
    <col min="2" max="2" width="5.1328125" style="1" customWidth="1"/>
    <col min="3" max="3" width="19" bestFit="1" customWidth="1"/>
    <col min="4" max="7" width="9.86328125" style="1" customWidth="1"/>
    <col min="8" max="8" width="20.1328125" customWidth="1"/>
    <col min="14" max="14" width="13.86328125" customWidth="1"/>
  </cols>
  <sheetData>
    <row r="1" spans="2:22" x14ac:dyDescent="0.45">
      <c r="B1" s="36" t="s">
        <v>183</v>
      </c>
    </row>
    <row r="2" spans="2:22" x14ac:dyDescent="0.45">
      <c r="B2" s="37"/>
    </row>
    <row r="3" spans="2:22" x14ac:dyDescent="0.45">
      <c r="B3" s="37" t="s">
        <v>184</v>
      </c>
    </row>
    <row r="5" spans="2:22" x14ac:dyDescent="0.45">
      <c r="B5" s="37" t="s">
        <v>185</v>
      </c>
    </row>
    <row r="6" spans="2:22" x14ac:dyDescent="0.45">
      <c r="B6"/>
    </row>
    <row r="7" spans="2:22" ht="15" customHeight="1" x14ac:dyDescent="0.45">
      <c r="D7" s="80" t="s">
        <v>79</v>
      </c>
      <c r="E7" s="81"/>
      <c r="F7" s="81"/>
      <c r="G7" s="82"/>
    </row>
    <row r="8" spans="2:22" x14ac:dyDescent="0.45">
      <c r="B8"/>
      <c r="C8" s="41" t="s">
        <v>0</v>
      </c>
      <c r="D8" s="40" t="s">
        <v>107</v>
      </c>
      <c r="E8" s="40" t="s">
        <v>108</v>
      </c>
      <c r="F8" s="40" t="s">
        <v>109</v>
      </c>
      <c r="G8" s="40" t="s">
        <v>110</v>
      </c>
      <c r="H8" s="40" t="s">
        <v>186</v>
      </c>
    </row>
    <row r="9" spans="2:22" x14ac:dyDescent="0.45">
      <c r="B9"/>
      <c r="C9" s="73" t="s">
        <v>112</v>
      </c>
      <c r="D9" s="74">
        <v>2510</v>
      </c>
      <c r="E9" s="74">
        <v>3210</v>
      </c>
      <c r="F9" s="74">
        <v>2960</v>
      </c>
      <c r="G9" s="74">
        <v>1040</v>
      </c>
      <c r="H9" s="32">
        <f>RANK(G9,$G$9:$G$18)</f>
        <v>10</v>
      </c>
      <c r="V9" s="37"/>
    </row>
    <row r="10" spans="2:22" x14ac:dyDescent="0.45">
      <c r="B10"/>
      <c r="C10" s="73" t="s">
        <v>113</v>
      </c>
      <c r="D10" s="74">
        <v>3620</v>
      </c>
      <c r="E10" s="74">
        <v>2950</v>
      </c>
      <c r="F10" s="74">
        <v>3010</v>
      </c>
      <c r="G10" s="74">
        <v>2970</v>
      </c>
      <c r="H10" s="32">
        <f t="shared" ref="H10:H18" si="0">RANK(G10,$G$9:$G$18)</f>
        <v>2</v>
      </c>
      <c r="V10" s="37"/>
    </row>
    <row r="11" spans="2:22" x14ac:dyDescent="0.45">
      <c r="B11"/>
      <c r="C11" s="73" t="s">
        <v>114</v>
      </c>
      <c r="D11" s="74">
        <v>1800</v>
      </c>
      <c r="E11" s="74">
        <v>1990</v>
      </c>
      <c r="F11" s="74">
        <v>2370</v>
      </c>
      <c r="G11" s="74">
        <v>2660</v>
      </c>
      <c r="H11" s="32">
        <f t="shared" si="0"/>
        <v>4</v>
      </c>
      <c r="V11" s="37"/>
    </row>
    <row r="12" spans="2:22" x14ac:dyDescent="0.45">
      <c r="B12"/>
      <c r="C12" s="73" t="s">
        <v>115</v>
      </c>
      <c r="D12" s="74">
        <v>1950</v>
      </c>
      <c r="E12" s="74">
        <v>2060</v>
      </c>
      <c r="F12" s="74">
        <v>2440</v>
      </c>
      <c r="G12" s="74">
        <v>2590</v>
      </c>
      <c r="H12" s="32">
        <f t="shared" si="0"/>
        <v>5</v>
      </c>
      <c r="V12" s="37"/>
    </row>
    <row r="13" spans="2:22" x14ac:dyDescent="0.45">
      <c r="B13"/>
      <c r="C13" s="73" t="s">
        <v>117</v>
      </c>
      <c r="D13" s="74">
        <v>2200</v>
      </c>
      <c r="E13" s="74">
        <v>2430</v>
      </c>
      <c r="F13" s="74">
        <v>2630</v>
      </c>
      <c r="G13" s="74">
        <v>2210</v>
      </c>
      <c r="H13" s="32">
        <f t="shared" si="0"/>
        <v>7</v>
      </c>
    </row>
    <row r="14" spans="2:22" x14ac:dyDescent="0.45">
      <c r="B14"/>
      <c r="C14" s="73" t="s">
        <v>119</v>
      </c>
      <c r="D14" s="74">
        <v>3270</v>
      </c>
      <c r="E14" s="74">
        <v>3220</v>
      </c>
      <c r="F14" s="74">
        <v>3690</v>
      </c>
      <c r="G14" s="74">
        <v>3480</v>
      </c>
      <c r="H14" s="32">
        <f t="shared" si="0"/>
        <v>1</v>
      </c>
    </row>
    <row r="15" spans="2:22" x14ac:dyDescent="0.45">
      <c r="B15"/>
      <c r="C15" s="73" t="s">
        <v>122</v>
      </c>
      <c r="D15" s="74">
        <v>1390</v>
      </c>
      <c r="E15" s="74">
        <v>1740</v>
      </c>
      <c r="F15" s="74">
        <v>1670</v>
      </c>
      <c r="G15" s="74">
        <v>1840</v>
      </c>
      <c r="H15" s="32">
        <f t="shared" si="0"/>
        <v>8</v>
      </c>
    </row>
    <row r="16" spans="2:22" x14ac:dyDescent="0.45">
      <c r="B16"/>
      <c r="C16" s="73" t="s">
        <v>123</v>
      </c>
      <c r="D16" s="74">
        <v>2730</v>
      </c>
      <c r="E16" s="74">
        <v>2850</v>
      </c>
      <c r="F16" s="74">
        <v>2610</v>
      </c>
      <c r="G16" s="74">
        <v>2790</v>
      </c>
      <c r="H16" s="32">
        <f t="shared" si="0"/>
        <v>3</v>
      </c>
    </row>
    <row r="17" spans="2:11" x14ac:dyDescent="0.45">
      <c r="B17"/>
      <c r="C17" s="73" t="s">
        <v>124</v>
      </c>
      <c r="D17" s="74">
        <v>3040</v>
      </c>
      <c r="E17" s="74">
        <v>1390</v>
      </c>
      <c r="F17" s="74">
        <v>3110</v>
      </c>
      <c r="G17" s="74">
        <v>1610</v>
      </c>
      <c r="H17" s="32">
        <f t="shared" si="0"/>
        <v>9</v>
      </c>
    </row>
    <row r="18" spans="2:11" x14ac:dyDescent="0.45">
      <c r="B18"/>
      <c r="C18" s="73" t="s">
        <v>125</v>
      </c>
      <c r="D18" s="74">
        <v>2830</v>
      </c>
      <c r="E18" s="74">
        <v>2550</v>
      </c>
      <c r="F18" s="74">
        <v>2770</v>
      </c>
      <c r="G18" s="74">
        <v>2390</v>
      </c>
      <c r="H18" s="32">
        <f t="shared" si="0"/>
        <v>6</v>
      </c>
    </row>
    <row r="20" spans="2:11" x14ac:dyDescent="0.45">
      <c r="B20" s="37" t="s">
        <v>187</v>
      </c>
      <c r="H20" t="s">
        <v>188</v>
      </c>
    </row>
    <row r="21" spans="2:11" x14ac:dyDescent="0.45">
      <c r="B21" s="37"/>
    </row>
    <row r="22" spans="2:11" x14ac:dyDescent="0.45">
      <c r="B22"/>
      <c r="C22" s="41" t="s">
        <v>0</v>
      </c>
      <c r="D22" s="40" t="s">
        <v>107</v>
      </c>
      <c r="E22"/>
      <c r="F22"/>
      <c r="G22"/>
      <c r="H22" s="40" t="str" cm="1">
        <f t="array" ref="H22:K23">_xlfn._xlws.SORT(D8:G9,2,-1,TRUE)</f>
        <v>Q2</v>
      </c>
      <c r="I22" s="40" t="str">
        <v>Q3</v>
      </c>
      <c r="J22" s="40" t="str">
        <v>Q1</v>
      </c>
      <c r="K22" s="40" t="str">
        <v>Q4</v>
      </c>
    </row>
    <row r="23" spans="2:11" x14ac:dyDescent="0.45">
      <c r="B23"/>
      <c r="C23" s="68" t="str" cm="1">
        <f t="array" ref="C23:D32">_xlfn._xlws.SORT(C9:D18,2)</f>
        <v>Richard</v>
      </c>
      <c r="D23" s="67">
        <v>1390</v>
      </c>
      <c r="E23"/>
      <c r="F23"/>
      <c r="G23"/>
      <c r="H23" s="67">
        <v>3210</v>
      </c>
      <c r="I23" s="67">
        <v>2960</v>
      </c>
      <c r="J23" s="67">
        <v>2510</v>
      </c>
      <c r="K23" s="67">
        <v>1040</v>
      </c>
    </row>
    <row r="24" spans="2:11" x14ac:dyDescent="0.45">
      <c r="B24"/>
      <c r="C24" s="68" t="str">
        <v>Patrick</v>
      </c>
      <c r="D24" s="67">
        <v>1800</v>
      </c>
      <c r="E24"/>
      <c r="F24"/>
      <c r="G24"/>
    </row>
    <row r="25" spans="2:11" x14ac:dyDescent="0.45">
      <c r="B25"/>
      <c r="C25" s="68" t="str">
        <v>Wendy</v>
      </c>
      <c r="D25" s="67">
        <v>1950</v>
      </c>
      <c r="E25"/>
      <c r="F25"/>
      <c r="G25"/>
    </row>
    <row r="26" spans="2:11" x14ac:dyDescent="0.45">
      <c r="B26"/>
      <c r="C26" s="68" t="str">
        <v>Jenny</v>
      </c>
      <c r="D26" s="67">
        <v>2200</v>
      </c>
      <c r="E26"/>
      <c r="F26"/>
      <c r="G26"/>
    </row>
    <row r="27" spans="2:11" x14ac:dyDescent="0.45">
      <c r="B27"/>
      <c r="C27" s="68" t="str">
        <v>Michelle</v>
      </c>
      <c r="D27" s="67">
        <v>2510</v>
      </c>
      <c r="E27"/>
      <c r="F27"/>
      <c r="G27"/>
    </row>
    <row r="28" spans="2:11" x14ac:dyDescent="0.45">
      <c r="B28"/>
      <c r="C28" s="68" t="str">
        <v>Helen</v>
      </c>
      <c r="D28" s="67">
        <v>2730</v>
      </c>
      <c r="E28"/>
      <c r="F28"/>
      <c r="G28"/>
    </row>
    <row r="29" spans="2:11" x14ac:dyDescent="0.45">
      <c r="B29"/>
      <c r="C29" s="68" t="str">
        <v>Adel</v>
      </c>
      <c r="D29" s="67">
        <v>2830</v>
      </c>
      <c r="E29"/>
      <c r="F29"/>
      <c r="G29"/>
    </row>
    <row r="30" spans="2:11" x14ac:dyDescent="0.45">
      <c r="B30"/>
      <c r="C30" s="68" t="str">
        <v>Chris</v>
      </c>
      <c r="D30" s="67">
        <v>3040</v>
      </c>
      <c r="E30"/>
      <c r="F30"/>
      <c r="G30"/>
    </row>
    <row r="31" spans="2:11" x14ac:dyDescent="0.45">
      <c r="B31"/>
      <c r="C31" s="68" t="str">
        <v>Leon</v>
      </c>
      <c r="D31" s="67">
        <v>3270</v>
      </c>
      <c r="E31"/>
      <c r="F31"/>
      <c r="G31"/>
    </row>
    <row r="32" spans="2:11" x14ac:dyDescent="0.45">
      <c r="B32"/>
      <c r="C32" s="68" t="str">
        <v>Steve</v>
      </c>
      <c r="D32" s="67">
        <v>3620</v>
      </c>
      <c r="E32"/>
      <c r="F32"/>
      <c r="G32"/>
    </row>
    <row r="33" spans="2:14" x14ac:dyDescent="0.45">
      <c r="B33" s="37"/>
    </row>
    <row r="34" spans="2:14" x14ac:dyDescent="0.45">
      <c r="B34" s="37" t="s">
        <v>189</v>
      </c>
      <c r="H34" t="s">
        <v>190</v>
      </c>
    </row>
    <row r="35" spans="2:14" x14ac:dyDescent="0.45">
      <c r="B35" s="37"/>
    </row>
    <row r="36" spans="2:14" x14ac:dyDescent="0.45">
      <c r="C36" s="40" t="s">
        <v>105</v>
      </c>
      <c r="D36" s="40" t="s">
        <v>108</v>
      </c>
      <c r="H36" s="40" t="s">
        <v>105</v>
      </c>
      <c r="I36" s="40" t="s">
        <v>109</v>
      </c>
    </row>
    <row r="37" spans="2:14" x14ac:dyDescent="0.45">
      <c r="C37" s="69">
        <v>1</v>
      </c>
      <c r="D37" s="67">
        <f>SMALL($E$9:$E$18,C37)</f>
        <v>1390</v>
      </c>
      <c r="H37" s="69">
        <v>1</v>
      </c>
      <c r="I37" s="67">
        <f>LARGE($F$9:$F$18,H37)</f>
        <v>3690</v>
      </c>
    </row>
    <row r="38" spans="2:14" x14ac:dyDescent="0.45">
      <c r="C38" s="69">
        <v>2</v>
      </c>
      <c r="D38" s="67">
        <f t="shared" ref="D38:D46" si="1">SMALL($E$9:$E$18,C38)</f>
        <v>1740</v>
      </c>
      <c r="H38" s="69">
        <v>2</v>
      </c>
      <c r="I38" s="67">
        <f t="shared" ref="I38:I46" si="2">LARGE($F$9:$F$18,H38)</f>
        <v>3110</v>
      </c>
    </row>
    <row r="39" spans="2:14" x14ac:dyDescent="0.45">
      <c r="C39" s="69">
        <v>3</v>
      </c>
      <c r="D39" s="67">
        <f t="shared" si="1"/>
        <v>1990</v>
      </c>
      <c r="H39" s="69">
        <v>3</v>
      </c>
      <c r="I39" s="67">
        <f t="shared" si="2"/>
        <v>3010</v>
      </c>
    </row>
    <row r="40" spans="2:14" x14ac:dyDescent="0.45">
      <c r="C40" s="69">
        <v>4</v>
      </c>
      <c r="D40" s="67">
        <f t="shared" si="1"/>
        <v>2060</v>
      </c>
      <c r="H40" s="69">
        <v>4</v>
      </c>
      <c r="I40" s="67">
        <f t="shared" si="2"/>
        <v>2960</v>
      </c>
    </row>
    <row r="41" spans="2:14" x14ac:dyDescent="0.45">
      <c r="C41" s="69">
        <v>5</v>
      </c>
      <c r="D41" s="67">
        <f t="shared" si="1"/>
        <v>2430</v>
      </c>
      <c r="H41" s="69">
        <v>5</v>
      </c>
      <c r="I41" s="67">
        <f t="shared" si="2"/>
        <v>2770</v>
      </c>
    </row>
    <row r="42" spans="2:14" x14ac:dyDescent="0.45">
      <c r="C42" s="69">
        <v>6</v>
      </c>
      <c r="D42" s="67">
        <f t="shared" si="1"/>
        <v>2550</v>
      </c>
      <c r="H42" s="69">
        <v>6</v>
      </c>
      <c r="I42" s="67">
        <f t="shared" si="2"/>
        <v>2630</v>
      </c>
    </row>
    <row r="43" spans="2:14" x14ac:dyDescent="0.45">
      <c r="C43" s="69">
        <v>7</v>
      </c>
      <c r="D43" s="67">
        <f t="shared" si="1"/>
        <v>2850</v>
      </c>
      <c r="H43" s="69">
        <v>7</v>
      </c>
      <c r="I43" s="67">
        <f t="shared" si="2"/>
        <v>2610</v>
      </c>
    </row>
    <row r="44" spans="2:14" x14ac:dyDescent="0.45">
      <c r="C44" s="69">
        <v>8</v>
      </c>
      <c r="D44" s="67">
        <f t="shared" si="1"/>
        <v>2950</v>
      </c>
      <c r="H44" s="69">
        <v>8</v>
      </c>
      <c r="I44" s="67">
        <f t="shared" si="2"/>
        <v>2440</v>
      </c>
    </row>
    <row r="45" spans="2:14" x14ac:dyDescent="0.45">
      <c r="C45" s="69">
        <v>9</v>
      </c>
      <c r="D45" s="67">
        <f t="shared" si="1"/>
        <v>3210</v>
      </c>
      <c r="H45" s="69">
        <v>9</v>
      </c>
      <c r="I45" s="67">
        <f t="shared" si="2"/>
        <v>2370</v>
      </c>
    </row>
    <row r="46" spans="2:14" x14ac:dyDescent="0.45">
      <c r="C46" s="69">
        <v>10</v>
      </c>
      <c r="D46" s="67">
        <f t="shared" si="1"/>
        <v>3220</v>
      </c>
      <c r="H46" s="69">
        <v>10</v>
      </c>
      <c r="I46" s="67">
        <f t="shared" si="2"/>
        <v>1670</v>
      </c>
    </row>
    <row r="48" spans="2:14" x14ac:dyDescent="0.45">
      <c r="B48" s="37" t="s">
        <v>191</v>
      </c>
      <c r="H48" s="37" t="s">
        <v>192</v>
      </c>
      <c r="N48" s="37" t="s">
        <v>193</v>
      </c>
    </row>
    <row r="49" spans="2:15" x14ac:dyDescent="0.45">
      <c r="B49" s="37" t="s">
        <v>194</v>
      </c>
      <c r="H49" s="37" t="s">
        <v>195</v>
      </c>
      <c r="N49" s="37" t="s">
        <v>196</v>
      </c>
    </row>
    <row r="51" spans="2:15" x14ac:dyDescent="0.45">
      <c r="C51" s="41" t="s">
        <v>0</v>
      </c>
      <c r="D51" s="40" t="s">
        <v>107</v>
      </c>
      <c r="H51" s="41" t="s">
        <v>0</v>
      </c>
      <c r="I51" s="40" t="s">
        <v>107</v>
      </c>
      <c r="J51" s="40" t="s">
        <v>108</v>
      </c>
      <c r="N51" s="41" t="s">
        <v>0</v>
      </c>
      <c r="O51" s="40" t="s">
        <v>107</v>
      </c>
    </row>
    <row r="52" spans="2:15" x14ac:dyDescent="0.45">
      <c r="C52" s="70" t="str" cm="1">
        <f t="array" ref="C52:D58">_xlfn._xlws.FILTER(C9:D18,D9:D18&gt;2000,"")</f>
        <v>Michelle</v>
      </c>
      <c r="D52" s="67">
        <v>2510</v>
      </c>
      <c r="H52" s="70" t="str" cm="1">
        <f t="array" ref="H52:J52">_xlfn._xlws.FILTER(C9:E18,(D9:D18&gt;3000)*(E9:E18&gt;3000),"")</f>
        <v>Leon</v>
      </c>
      <c r="I52" s="67">
        <v>3270</v>
      </c>
      <c r="J52" s="67">
        <v>3220</v>
      </c>
      <c r="N52" s="70" t="str" cm="1">
        <f t="array" ref="N52:O58">_xlfn._xlws.SORT(_xlfn._xlws.FILTER(C9:D18,D9:D18&gt;2000,""),2,-1)</f>
        <v>Steve</v>
      </c>
      <c r="O52" s="67">
        <v>3620</v>
      </c>
    </row>
    <row r="53" spans="2:15" x14ac:dyDescent="0.45">
      <c r="C53" s="70" t="str">
        <v>Steve</v>
      </c>
      <c r="D53" s="67">
        <v>3620</v>
      </c>
      <c r="H53" s="43"/>
      <c r="I53" s="45"/>
      <c r="J53" s="45"/>
      <c r="N53" s="70" t="str">
        <v>Leon</v>
      </c>
      <c r="O53" s="67">
        <v>3270</v>
      </c>
    </row>
    <row r="54" spans="2:15" x14ac:dyDescent="0.45">
      <c r="C54" s="70" t="str">
        <v>Jenny</v>
      </c>
      <c r="D54" s="67">
        <v>2200</v>
      </c>
      <c r="H54" s="43"/>
      <c r="I54" s="45"/>
      <c r="J54" s="45"/>
      <c r="N54" s="70" t="str">
        <v>Chris</v>
      </c>
      <c r="O54" s="67">
        <v>3040</v>
      </c>
    </row>
    <row r="55" spans="2:15" x14ac:dyDescent="0.45">
      <c r="C55" s="70" t="str">
        <v>Leon</v>
      </c>
      <c r="D55" s="67">
        <v>3270</v>
      </c>
      <c r="H55" s="43"/>
      <c r="I55" s="45"/>
      <c r="J55" s="45"/>
      <c r="N55" s="70" t="str">
        <v>Adel</v>
      </c>
      <c r="O55" s="67">
        <v>2830</v>
      </c>
    </row>
    <row r="56" spans="2:15" x14ac:dyDescent="0.45">
      <c r="C56" s="70" t="str">
        <v>Helen</v>
      </c>
      <c r="D56" s="67">
        <v>2730</v>
      </c>
      <c r="H56" s="43"/>
      <c r="I56" s="45"/>
      <c r="J56" s="45"/>
      <c r="N56" s="70" t="str">
        <v>Helen</v>
      </c>
      <c r="O56" s="67">
        <v>2730</v>
      </c>
    </row>
    <row r="57" spans="2:15" x14ac:dyDescent="0.45">
      <c r="C57" s="70" t="str">
        <v>Chris</v>
      </c>
      <c r="D57" s="67">
        <v>3040</v>
      </c>
      <c r="H57" s="43"/>
      <c r="I57" s="45"/>
      <c r="J57" s="45"/>
      <c r="N57" s="70" t="str">
        <v>Michelle</v>
      </c>
      <c r="O57" s="67">
        <v>2510</v>
      </c>
    </row>
    <row r="58" spans="2:15" x14ac:dyDescent="0.45">
      <c r="C58" s="70" t="str">
        <v>Adel</v>
      </c>
      <c r="D58" s="67">
        <v>2830</v>
      </c>
      <c r="H58" s="43"/>
      <c r="I58" s="45"/>
      <c r="J58" s="45"/>
      <c r="N58" s="70" t="str">
        <v>Jenny</v>
      </c>
      <c r="O58" s="67">
        <v>2200</v>
      </c>
    </row>
    <row r="59" spans="2:15" x14ac:dyDescent="0.45">
      <c r="C59" s="71"/>
      <c r="D59" s="72"/>
      <c r="H59" s="43"/>
      <c r="I59" s="45"/>
      <c r="J59" s="45"/>
      <c r="N59" s="43"/>
      <c r="O59" s="45"/>
    </row>
    <row r="60" spans="2:15" x14ac:dyDescent="0.45">
      <c r="C60" s="71"/>
      <c r="D60" s="72"/>
      <c r="H60" s="43"/>
      <c r="I60" s="45"/>
      <c r="J60" s="45"/>
      <c r="N60" s="43"/>
      <c r="O60" s="45"/>
    </row>
    <row r="61" spans="2:15" x14ac:dyDescent="0.45">
      <c r="C61" s="71"/>
      <c r="D61" s="72"/>
      <c r="H61" s="43"/>
      <c r="I61" s="45"/>
      <c r="J61" s="45"/>
      <c r="N61" s="43"/>
      <c r="O61" s="45"/>
    </row>
  </sheetData>
  <mergeCells count="1">
    <mergeCell ref="D7:G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98EC-4BB5-4492-BB15-D531EC46681B}">
  <dimension ref="A1:B13"/>
  <sheetViews>
    <sheetView workbookViewId="0">
      <selection activeCell="G13" sqref="G13"/>
    </sheetView>
  </sheetViews>
  <sheetFormatPr defaultRowHeight="14.25" x14ac:dyDescent="0.45"/>
  <cols>
    <col min="1" max="1" width="17" bestFit="1" customWidth="1"/>
    <col min="2" max="2" width="14.86328125" bestFit="1" customWidth="1"/>
  </cols>
  <sheetData>
    <row r="1" spans="1:2" x14ac:dyDescent="0.45">
      <c r="A1" t="s">
        <v>215</v>
      </c>
    </row>
    <row r="2" spans="1:2" x14ac:dyDescent="0.45">
      <c r="A2" t="s">
        <v>216</v>
      </c>
      <c r="B2">
        <v>100000</v>
      </c>
    </row>
    <row r="3" spans="1:2" x14ac:dyDescent="0.45">
      <c r="A3" t="s">
        <v>217</v>
      </c>
      <c r="B3" s="92">
        <v>0.05</v>
      </c>
    </row>
    <row r="4" spans="1:2" x14ac:dyDescent="0.45">
      <c r="A4" t="s">
        <v>218</v>
      </c>
      <c r="B4">
        <v>5</v>
      </c>
    </row>
    <row r="5" spans="1:2" x14ac:dyDescent="0.45">
      <c r="A5" t="s">
        <v>219</v>
      </c>
      <c r="B5" s="93">
        <f>PMT(B3/12,B4*12,B2)</f>
        <v>-1887.1233644010936</v>
      </c>
    </row>
    <row r="7" spans="1:2" x14ac:dyDescent="0.45">
      <c r="B7" s="93">
        <f>$B$5</f>
        <v>-1887.1233644010936</v>
      </c>
    </row>
    <row r="8" spans="1:2" x14ac:dyDescent="0.45">
      <c r="A8" s="92">
        <v>0.03</v>
      </c>
      <c r="B8" s="93">
        <f t="dataTable" ref="B8:B13" dt2D="0" dtr="0" r1="B3"/>
        <v>-1796.8690664063138</v>
      </c>
    </row>
    <row r="9" spans="1:2" x14ac:dyDescent="0.45">
      <c r="A9" s="92">
        <v>0.04</v>
      </c>
      <c r="B9">
        <v>-1841.6522055266353</v>
      </c>
    </row>
    <row r="10" spans="1:2" x14ac:dyDescent="0.45">
      <c r="A10" s="92">
        <v>0.05</v>
      </c>
      <c r="B10">
        <v>-1887.1233644010936</v>
      </c>
    </row>
    <row r="11" spans="1:2" x14ac:dyDescent="0.45">
      <c r="A11" s="92">
        <v>0.06</v>
      </c>
      <c r="B11">
        <v>-1933.2801529427916</v>
      </c>
    </row>
    <row r="12" spans="1:2" x14ac:dyDescent="0.45">
      <c r="A12" s="92">
        <v>7.0000000000000007E-2</v>
      </c>
      <c r="B12">
        <v>-1980.1198540349535</v>
      </c>
    </row>
    <row r="13" spans="1:2" x14ac:dyDescent="0.45">
      <c r="A13" s="92">
        <v>0.08</v>
      </c>
      <c r="B13">
        <v>-2027.6394288413683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EFE1-E304-4B29-AF8C-B88E9BD5302C}">
  <dimension ref="A1:E12"/>
  <sheetViews>
    <sheetView workbookViewId="0">
      <selection activeCell="E18" sqref="E18"/>
    </sheetView>
  </sheetViews>
  <sheetFormatPr defaultRowHeight="14.25" x14ac:dyDescent="0.45"/>
  <cols>
    <col min="1" max="1" width="17" bestFit="1" customWidth="1"/>
    <col min="2" max="3" width="9.265625" bestFit="1" customWidth="1"/>
    <col min="4" max="4" width="11.265625" customWidth="1"/>
    <col min="5" max="5" width="11.86328125" customWidth="1"/>
  </cols>
  <sheetData>
    <row r="1" spans="1:5" x14ac:dyDescent="0.45">
      <c r="A1" t="s">
        <v>215</v>
      </c>
    </row>
    <row r="2" spans="1:5" x14ac:dyDescent="0.45">
      <c r="A2" t="s">
        <v>216</v>
      </c>
      <c r="B2">
        <v>100000</v>
      </c>
    </row>
    <row r="3" spans="1:5" x14ac:dyDescent="0.45">
      <c r="A3" t="s">
        <v>217</v>
      </c>
      <c r="B3" s="92">
        <v>0.05</v>
      </c>
    </row>
    <row r="4" spans="1:5" x14ac:dyDescent="0.45">
      <c r="A4" t="s">
        <v>218</v>
      </c>
      <c r="B4">
        <v>5</v>
      </c>
    </row>
    <row r="5" spans="1:5" x14ac:dyDescent="0.45">
      <c r="A5" t="s">
        <v>219</v>
      </c>
      <c r="B5" s="93">
        <f>PMT(B3/12,B4*12,B2)</f>
        <v>-1887.1233644010936</v>
      </c>
    </row>
    <row r="7" spans="1:5" x14ac:dyDescent="0.45">
      <c r="A7" s="93">
        <f>B5</f>
        <v>-1887.1233644010936</v>
      </c>
      <c r="B7">
        <v>80000</v>
      </c>
      <c r="C7">
        <v>100000</v>
      </c>
      <c r="D7">
        <v>120000</v>
      </c>
      <c r="E7">
        <v>140000</v>
      </c>
    </row>
    <row r="8" spans="1:5" x14ac:dyDescent="0.45">
      <c r="A8" s="92">
        <v>0.03</v>
      </c>
      <c r="B8" s="93">
        <f t="dataTable" ref="B8:E12" dt2D="1" dtr="1" r1="B2" r2="B3"/>
        <v>-1437.495253125051</v>
      </c>
      <c r="C8">
        <v>-1796.8690664063138</v>
      </c>
      <c r="D8">
        <v>-2156.2428796875765</v>
      </c>
      <c r="E8">
        <v>-2515.6166929688397</v>
      </c>
    </row>
    <row r="9" spans="1:5" x14ac:dyDescent="0.45">
      <c r="A9" s="92">
        <v>0.04</v>
      </c>
      <c r="B9">
        <v>-1473.321764421308</v>
      </c>
      <c r="C9">
        <v>-1841.6522055266353</v>
      </c>
      <c r="D9">
        <v>-2209.9826466319623</v>
      </c>
      <c r="E9">
        <v>-2578.3130877372892</v>
      </c>
    </row>
    <row r="10" spans="1:5" x14ac:dyDescent="0.45">
      <c r="A10" s="92">
        <v>0.05</v>
      </c>
      <c r="B10">
        <v>-1509.6986915208749</v>
      </c>
      <c r="C10" s="93">
        <v>-1887.1233644010936</v>
      </c>
      <c r="D10">
        <v>-2264.5480372813122</v>
      </c>
      <c r="E10">
        <v>-2641.9727101615308</v>
      </c>
    </row>
    <row r="11" spans="1:5" x14ac:dyDescent="0.45">
      <c r="A11" s="92">
        <v>0.06</v>
      </c>
      <c r="B11">
        <v>-1546.6241223542331</v>
      </c>
      <c r="C11">
        <v>-1933.2801529427916</v>
      </c>
      <c r="D11">
        <v>-2319.9361835313498</v>
      </c>
      <c r="E11">
        <v>-2706.592214119908</v>
      </c>
    </row>
    <row r="12" spans="1:5" x14ac:dyDescent="0.45">
      <c r="A12" s="92">
        <v>7.0000000000000007E-2</v>
      </c>
      <c r="B12">
        <v>-1584.0958832279628</v>
      </c>
      <c r="C12">
        <v>-1980.1198540349535</v>
      </c>
      <c r="D12">
        <v>-2376.1438248419445</v>
      </c>
      <c r="E12">
        <v>-2772.1677956489348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Financial Formulas</vt:lpstr>
      <vt:lpstr>Financial Formula Templates</vt:lpstr>
      <vt:lpstr>Lookups2</vt:lpstr>
      <vt:lpstr>Lookups Templates</vt:lpstr>
      <vt:lpstr>Modelling Templates</vt:lpstr>
      <vt:lpstr>Counts Templates</vt:lpstr>
      <vt:lpstr>Ranking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Lingesh Ganesh</dc:creator>
  <cp:lastModifiedBy>Lingesh S/O GANESH</cp:lastModifiedBy>
  <dcterms:created xsi:type="dcterms:W3CDTF">2015-06-05T18:17:20Z</dcterms:created>
  <dcterms:modified xsi:type="dcterms:W3CDTF">2026-09-07T09:08:17Z</dcterms:modified>
</cp:coreProperties>
</file>